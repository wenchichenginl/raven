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comments1.bin" ContentType="application/vnd.ms-excel.comments"/>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3.bin" ContentType="application/vnd.openxmlformats-officedocument.spreadsheetml.printerSettings"/>
  <Override PartName="/xl/comments2.bin" ContentType="application/vnd.ms-excel.comments"/>
  <Override PartName="/xl/comments3.bin" ContentType="application/vnd.ms-excel.comments"/>
  <Override PartName="/xl/drawings/drawing2.xml" ContentType="application/vnd.openxmlformats-officedocument.drawing+xml"/>
  <Override PartName="/xl/comments4.bin" ContentType="application/vnd.ms-excel.comments"/>
  <Override PartName="/xl/printerSettings/printerSettings4.bin" ContentType="application/vnd.openxmlformats-officedocument.spreadsheetml.printerSettings"/>
  <Override PartName="/xl/drawings/drawing3.xml" ContentType="application/vnd.openxmlformats-officedocument.drawing+xml"/>
  <Override PartName="/xl/comments5.bin" ContentType="application/vnd.ms-excel.comments"/>
  <Override PartName="/xl/threadedComments/threadedComment2.xml" ContentType="application/vnd.ms-excel.threadedcomments+xml"/>
  <Override PartName="/xl/printerSettings/printerSettings5.bin" ContentType="application/vnd.openxmlformats-officedocument.spreadsheetml.printerSettings"/>
  <Override PartName="/xl/drawings/drawing4.xml" ContentType="application/vnd.openxmlformats-officedocument.drawing+xml"/>
  <Override PartName="/xl/comments6.bin" ContentType="application/vnd.ms-excel.comments"/>
  <Override PartName="/xl/threadedComments/threadedComment3.xml" ContentType="application/vnd.ms-excel.threadedcomments+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printerSettings/printerSettings8.bin" ContentType="application/vnd.openxmlformats-officedocument.spreadsheetml.printerSettings"/>
  <Override PartName="/xl/drawings/drawing7.xml" ContentType="application/vnd.openxmlformats-officedocument.drawing+xml"/>
  <Override PartName="/xl/comments7.bin" ContentType="application/vnd.ms-excel.comments"/>
  <Override PartName="/xl/threadedComments/threadedComment4.xml" ContentType="application/vnd.ms-excel.threadedcomments+xml"/>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printerSettings/printerSettings10.bin" ContentType="application/vnd.openxmlformats-officedocument.spreadsheetml.printerSettings"/>
  <Override PartName="/xl/drawings/drawing10.xml" ContentType="application/vnd.openxmlformats-officedocument.drawing+xml"/>
  <Override PartName="/xl/printerSettings/printerSettings11.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customXml" Target="../customXml/item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bin"/><Relationship Id="rId19" Type="http://schemas.microsoft.com/office/2017/10/relationships/person" Target="persons/person.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Preference_Analysis!$A$1</c:f>
          <c:strCache>
            <c:ptCount val="1"/>
            <c:pt idx="0">
              <c:v>(a) H2 Production through HTSE vs. Business as Usual (BAU)</c:v>
            </c:pt>
          </c:strCache>
        </c:strRef>
      </c:tx>
      <c:layout>
        <c:manualLayout>
          <c:xMode val="edge"/>
          <c:yMode val="edge"/>
          <c:x val="1.6506530312068987E-2"/>
          <c:y val="2.8076871626134072E-3"/>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2124978535876199"/>
          <c:y val="9.5078994924226917E-2"/>
          <c:w val="0.52882705678074793"/>
          <c:h val="0.72922414497834154"/>
        </c:manualLayout>
      </c:layout>
      <c:areaChart>
        <c:grouping val="stacked"/>
        <c:varyColors val="0"/>
        <c:ser>
          <c:idx val="6"/>
          <c:order val="6"/>
          <c:tx>
            <c:strRef>
              <c:f>Dashboard!$X$72</c:f>
              <c:strCache>
                <c:ptCount val="1"/>
                <c:pt idx="0">
                  <c:v>Preferable (NPV_H2 ≥ NPV_BAU)</c:v>
                </c:pt>
              </c:strCache>
              <c:extLst xmlns:c15="http://schemas.microsoft.com/office/drawing/2012/chart"/>
            </c:strRef>
          </c:tx>
          <c:spPr>
            <a:solidFill>
              <a:srgbClr val="C6EFCE"/>
            </a:solidFill>
            <a:ln>
              <a:noFill/>
            </a:ln>
            <a:effectLst/>
          </c:spPr>
          <c:cat>
            <c:numRef>
              <c:f>Preference_Analysis!$Y$2:$Y$18</c:f>
              <c:numCache>
                <c:formatCode>"$"#,##0.00</c:formatCode>
                <c:ptCount val="17"/>
                <c:pt idx="0">
                  <c:v>-219.0099396134878</c:v>
                </c:pt>
                <c:pt idx="1">
                  <c:v>-213.70568079357878</c:v>
                </c:pt>
                <c:pt idx="2">
                  <c:v>-162.83750919749355</c:v>
                </c:pt>
                <c:pt idx="3">
                  <c:v>-157.53325037758449</c:v>
                </c:pt>
                <c:pt idx="4">
                  <c:v>-106.66507878149935</c:v>
                </c:pt>
                <c:pt idx="5">
                  <c:v>-102.0150609823896</c:v>
                </c:pt>
                <c:pt idx="6">
                  <c:v>-101.36081996159024</c:v>
                </c:pt>
                <c:pt idx="7">
                  <c:v>-50.492648365505126</c:v>
                </c:pt>
                <c:pt idx="8">
                  <c:v>-45.842630566395357</c:v>
                </c:pt>
                <c:pt idx="9">
                  <c:v>-45.188389545596024</c:v>
                </c:pt>
                <c:pt idx="10">
                  <c:v>38.942444890707058</c:v>
                </c:pt>
                <c:pt idx="11">
                  <c:v>95.27550257845661</c:v>
                </c:pt>
                <c:pt idx="12">
                  <c:v>137.295648885943</c:v>
                </c:pt>
                <c:pt idx="13">
                  <c:v>169.14476537380517</c:v>
                </c:pt>
                <c:pt idx="14">
                  <c:v>212.74582855446579</c:v>
                </c:pt>
                <c:pt idx="15">
                  <c:v>268.9182589704601</c:v>
                </c:pt>
                <c:pt idx="16">
                  <c:v>325.0906893864543</c:v>
                </c:pt>
              </c:numCache>
            </c:numRef>
          </c:cat>
          <c:val>
            <c:numRef>
              <c:f>Preference_Analysis!$W$2:$W$18</c:f>
              <c:numCache>
                <c:formatCode>"$"#,##0.00</c:formatCode>
                <c:ptCount val="17"/>
                <c:pt idx="0" formatCode="General">
                  <c:v>0</c:v>
                </c:pt>
                <c:pt idx="1">
                  <c:v>0</c:v>
                </c:pt>
                <c:pt idx="2">
                  <c:v>0</c:v>
                </c:pt>
                <c:pt idx="3">
                  <c:v>0</c:v>
                </c:pt>
                <c:pt idx="4">
                  <c:v>0</c:v>
                </c:pt>
                <c:pt idx="5">
                  <c:v>0</c:v>
                </c:pt>
                <c:pt idx="6">
                  <c:v>0</c:v>
                </c:pt>
                <c:pt idx="7">
                  <c:v>0</c:v>
                </c:pt>
                <c:pt idx="8">
                  <c:v>0</c:v>
                </c:pt>
                <c:pt idx="9">
                  <c:v>0</c:v>
                </c:pt>
                <c:pt idx="10">
                  <c:v>0</c:v>
                </c:pt>
                <c:pt idx="11">
                  <c:v>16</c:v>
                </c:pt>
                <c:pt idx="12">
                  <c:v>32</c:v>
                </c:pt>
                <c:pt idx="13">
                  <c:v>44.419206463462686</c:v>
                </c:pt>
                <c:pt idx="14">
                  <c:v>32</c:v>
                </c:pt>
                <c:pt idx="15">
                  <c:v>16</c:v>
                </c:pt>
                <c:pt idx="16">
                  <c:v>0</c:v>
                </c:pt>
              </c:numCache>
            </c:numRef>
          </c:val>
          <c:extLst xmlns:c15="http://schemas.microsoft.com/office/drawing/2012/chart">
            <c:ext xmlns:c16="http://schemas.microsoft.com/office/drawing/2014/chart" uri="{C3380CC4-5D6E-409C-BE32-E72D297353CC}">
              <c16:uniqueId val="{00000000-BBEF-420F-A131-EA071B64CCA9}"/>
            </c:ext>
          </c:extLst>
        </c:ser>
        <c:dLbls>
          <c:showLegendKey val="0"/>
          <c:showVal val="0"/>
          <c:showCatName val="0"/>
          <c:showSerName val="0"/>
          <c:showPercent val="0"/>
          <c:showBubbleSize val="0"/>
        </c:dLbls>
        <c:axId val="67938511"/>
        <c:axId val="67955311"/>
        <c:extLst/>
      </c:areaChart>
      <c:scatterChart>
        <c:scatterStyle val="lineMarker"/>
        <c:varyColors val="0"/>
        <c:ser>
          <c:idx val="0"/>
          <c:order val="0"/>
          <c:tx>
            <c:strRef>
              <c:f>Preference_Analysis!$E$4</c:f>
              <c:strCache>
                <c:ptCount val="1"/>
                <c:pt idx="0">
                  <c:v>BAU (IRA 45U)</c:v>
                </c:pt>
              </c:strCache>
            </c:strRef>
          </c:tx>
          <c:spPr>
            <a:ln w="19050" cap="rnd">
              <a:solidFill>
                <a:schemeClr val="accent1"/>
              </a:solidFill>
              <a:round/>
            </a:ln>
            <a:effectLst/>
          </c:spPr>
          <c:marker>
            <c:symbol val="none"/>
          </c:marker>
          <c:xVal>
            <c:numRef>
              <c:f>Preference_Analysis!$E$17:$E$22</c:f>
              <c:numCache>
                <c:formatCode>"$"#,###.0,,\ "M"</c:formatCode>
                <c:ptCount val="6"/>
                <c:pt idx="0">
                  <c:v>389424448.90707058</c:v>
                </c:pt>
                <c:pt idx="1">
                  <c:v>952755025.78456616</c:v>
                </c:pt>
                <c:pt idx="2">
                  <c:v>1372956488.8594298</c:v>
                </c:pt>
                <c:pt idx="3">
                  <c:v>1747607217.6454742</c:v>
                </c:pt>
                <c:pt idx="4">
                  <c:v>2286084778.0450468</c:v>
                </c:pt>
                <c:pt idx="5">
                  <c:v>2823996938.4653997</c:v>
                </c:pt>
              </c:numCache>
            </c:numRef>
          </c:xVal>
          <c:yVal>
            <c:numRef>
              <c:f>Preference_Analysis!$B$17:$B$22</c:f>
              <c:numCache>
                <c:formatCode>"$"#,##0.00</c:formatCode>
                <c:ptCount val="6"/>
                <c:pt idx="0">
                  <c:v>0</c:v>
                </c:pt>
                <c:pt idx="1">
                  <c:v>16</c:v>
                </c:pt>
                <c:pt idx="2">
                  <c:v>32</c:v>
                </c:pt>
                <c:pt idx="3">
                  <c:v>48</c:v>
                </c:pt>
                <c:pt idx="4">
                  <c:v>64</c:v>
                </c:pt>
                <c:pt idx="5">
                  <c:v>80</c:v>
                </c:pt>
              </c:numCache>
            </c:numRef>
          </c:yVal>
          <c:smooth val="0"/>
          <c:extLst>
            <c:ext xmlns:c16="http://schemas.microsoft.com/office/drawing/2014/chart" uri="{C3380CC4-5D6E-409C-BE32-E72D297353CC}">
              <c16:uniqueId val="{00000001-BBEF-420F-A131-EA071B64CCA9}"/>
            </c:ext>
          </c:extLst>
        </c:ser>
        <c:ser>
          <c:idx val="1"/>
          <c:order val="1"/>
          <c:tx>
            <c:strRef>
              <c:f>Preference_Analysis!$A$5</c:f>
              <c:strCache>
                <c:ptCount val="1"/>
                <c:pt idx="0">
                  <c:v>H2 (IRA 45V), sale price=$5/kg, PTC=$3/kg</c:v>
                </c:pt>
              </c:strCache>
              <c:extLst xmlns:c15="http://schemas.microsoft.com/office/drawing/2012/chart"/>
            </c:strRef>
          </c:tx>
          <c:spPr>
            <a:ln w="19050" cap="rnd">
              <a:solidFill>
                <a:srgbClr val="FF0000"/>
              </a:solidFill>
              <a:prstDash val="lgDash"/>
              <a:round/>
            </a:ln>
            <a:effectLst/>
          </c:spPr>
          <c:marker>
            <c:symbol val="none"/>
          </c:marker>
          <c:xVal>
            <c:numRef>
              <c:f>Preference_Analysis!$F$5:$F$10</c:f>
              <c:numCache>
                <c:formatCode>"$"#,###.00,,\ "M"</c:formatCode>
                <c:ptCount val="6"/>
                <c:pt idx="0">
                  <c:v>3250906893.864543</c:v>
                </c:pt>
                <c:pt idx="1">
                  <c:v>2689182589.7046013</c:v>
                </c:pt>
                <c:pt idx="2">
                  <c:v>2127458285.5446579</c:v>
                </c:pt>
                <c:pt idx="3">
                  <c:v>1565733981.3847163</c:v>
                </c:pt>
                <c:pt idx="4">
                  <c:v>1004009677.2247739</c:v>
                </c:pt>
                <c:pt idx="5" formatCode="&quot;$&quot;#,###.0,,\ &quot;M&quot;">
                  <c:v>442285373.0648315</c:v>
                </c:pt>
              </c:numCache>
              <c:extLst xmlns:c15="http://schemas.microsoft.com/office/drawing/2012/chart"/>
            </c:numRef>
          </c:xVal>
          <c:yVal>
            <c:numRef>
              <c:f>Preference_Analysis!$B$5:$B$10</c:f>
              <c:numCache>
                <c:formatCode>"$"#,##0.00</c:formatCode>
                <c:ptCount val="6"/>
                <c:pt idx="0">
                  <c:v>0</c:v>
                </c:pt>
                <c:pt idx="1">
                  <c:v>16</c:v>
                </c:pt>
                <c:pt idx="2">
                  <c:v>32</c:v>
                </c:pt>
                <c:pt idx="3">
                  <c:v>48</c:v>
                </c:pt>
                <c:pt idx="4">
                  <c:v>64</c:v>
                </c:pt>
                <c:pt idx="5">
                  <c:v>80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2-BBEF-420F-A131-EA071B64CCA9}"/>
            </c:ext>
          </c:extLst>
        </c:ser>
        <c:ser>
          <c:idx val="2"/>
          <c:order val="2"/>
          <c:tx>
            <c:strRef>
              <c:f>Preference_Analysis!$A$11</c:f>
              <c:strCache>
                <c:ptCount val="1"/>
                <c:pt idx="0">
                  <c:v>H2 (IRA 45V), sale price=$0.5/kg, PTC=$3/kg</c:v>
                </c:pt>
              </c:strCache>
              <c:extLst xmlns:c15="http://schemas.microsoft.com/office/drawing/2012/chart"/>
            </c:strRef>
          </c:tx>
          <c:spPr>
            <a:ln w="19050" cap="rnd">
              <a:solidFill>
                <a:srgbClr val="FF0000"/>
              </a:solidFill>
              <a:prstDash val="sysDash"/>
              <a:round/>
            </a:ln>
            <a:effectLst/>
          </c:spPr>
          <c:marker>
            <c:symbol val="none"/>
          </c:marker>
          <c:xVal>
            <c:numRef>
              <c:f>Preference_Analysis!$F$11:$F$16</c:f>
              <c:numCache>
                <c:formatCode>"$"#,###.0,,\ "M"</c:formatCode>
                <c:ptCount val="6"/>
                <c:pt idx="0">
                  <c:v>618522124.66483307</c:v>
                </c:pt>
                <c:pt idx="1">
                  <c:v>56797820.504890852</c:v>
                </c:pt>
                <c:pt idx="2">
                  <c:v>-504926483.65505129</c:v>
                </c:pt>
                <c:pt idx="3">
                  <c:v>-1066650787.8149935</c:v>
                </c:pt>
                <c:pt idx="4">
                  <c:v>-1628375091.9749355</c:v>
                </c:pt>
                <c:pt idx="5">
                  <c:v>-2190099396.1348782</c:v>
                </c:pt>
              </c:numCache>
              <c:extLst xmlns:c15="http://schemas.microsoft.com/office/drawing/2012/chart"/>
            </c:numRef>
          </c:xVal>
          <c:yVal>
            <c:numRef>
              <c:f>Preference_Analysis!$B$11:$B$16</c:f>
              <c:numCache>
                <c:formatCode>"$"#,##0.00</c:formatCode>
                <c:ptCount val="6"/>
                <c:pt idx="0">
                  <c:v>0</c:v>
                </c:pt>
                <c:pt idx="1">
                  <c:v>16</c:v>
                </c:pt>
                <c:pt idx="2">
                  <c:v>32</c:v>
                </c:pt>
                <c:pt idx="3">
                  <c:v>48</c:v>
                </c:pt>
                <c:pt idx="4">
                  <c:v>64</c:v>
                </c:pt>
                <c:pt idx="5">
                  <c:v>80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3-BBEF-420F-A131-EA071B64CCA9}"/>
            </c:ext>
          </c:extLst>
        </c:ser>
        <c:ser>
          <c:idx val="3"/>
          <c:order val="3"/>
          <c:tx>
            <c:strRef>
              <c:f>Preference_Analysis!$A$17</c:f>
              <c:strCache>
                <c:ptCount val="1"/>
                <c:pt idx="0">
                  <c:v>H2 (IRA 45V), sale price=$2.5/kg, PTC=$3/kg</c:v>
                </c:pt>
              </c:strCache>
              <c:extLst xmlns:c15="http://schemas.microsoft.com/office/drawing/2012/chart"/>
            </c:strRef>
          </c:tx>
          <c:spPr>
            <a:ln w="19050" cap="rnd">
              <a:solidFill>
                <a:schemeClr val="accent1"/>
              </a:solidFill>
              <a:prstDash val="lgDashDot"/>
              <a:round/>
            </a:ln>
            <a:effectLst/>
          </c:spPr>
          <c:marker>
            <c:symbol val="triangle"/>
            <c:size val="7"/>
            <c:spPr>
              <a:solidFill>
                <a:srgbClr val="7030A0"/>
              </a:solidFill>
              <a:ln w="9525">
                <a:noFill/>
              </a:ln>
              <a:effectLst/>
            </c:spPr>
          </c:marker>
          <c:xVal>
            <c:numRef>
              <c:f>Preference_Analysis!$F$17:$F$22</c:f>
              <c:numCache>
                <c:formatCode>"$"#,###.0,,\ "M"</c:formatCode>
                <c:ptCount val="6"/>
                <c:pt idx="0">
                  <c:v>1788470910.9758153</c:v>
                </c:pt>
                <c:pt idx="1">
                  <c:v>1226746606.8158731</c:v>
                </c:pt>
                <c:pt idx="2">
                  <c:v>665022302.65593088</c:v>
                </c:pt>
                <c:pt idx="3">
                  <c:v>103297998.49598873</c:v>
                </c:pt>
                <c:pt idx="4">
                  <c:v>-458426305.6639536</c:v>
                </c:pt>
                <c:pt idx="5">
                  <c:v>-1020150609.8238959</c:v>
                </c:pt>
              </c:numCache>
              <c:extLst xmlns:c15="http://schemas.microsoft.com/office/drawing/2012/chart"/>
            </c:numRef>
          </c:xVal>
          <c:yVal>
            <c:numRef>
              <c:f>Preference_Analysis!$B$17:$B$22</c:f>
              <c:numCache>
                <c:formatCode>"$"#,##0.00</c:formatCode>
                <c:ptCount val="6"/>
                <c:pt idx="0">
                  <c:v>0</c:v>
                </c:pt>
                <c:pt idx="1">
                  <c:v>16</c:v>
                </c:pt>
                <c:pt idx="2">
                  <c:v>32</c:v>
                </c:pt>
                <c:pt idx="3">
                  <c:v>48</c:v>
                </c:pt>
                <c:pt idx="4">
                  <c:v>64</c:v>
                </c:pt>
                <c:pt idx="5">
                  <c:v>80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4-BBEF-420F-A131-EA071B64CCA9}"/>
            </c:ext>
          </c:extLst>
        </c:ser>
        <c:ser>
          <c:idx val="4"/>
          <c:order val="4"/>
          <c:tx>
            <c:strRef>
              <c:f>Preference_Analysis!$A$23</c:f>
              <c:strCache>
                <c:ptCount val="1"/>
                <c:pt idx="0">
                  <c:v>H2 (IRA 45V), sale price=$2.5/kg, PTC=$0/kg</c:v>
                </c:pt>
              </c:strCache>
              <c:extLst xmlns:c15="http://schemas.microsoft.com/office/drawing/2012/chart"/>
            </c:strRef>
          </c:tx>
          <c:spPr>
            <a:ln w="19050" cap="rnd">
              <a:solidFill>
                <a:schemeClr val="accent1"/>
              </a:solidFill>
              <a:prstDash val="sysDot"/>
              <a:round/>
            </a:ln>
            <a:effectLst/>
          </c:spPr>
          <c:marker>
            <c:symbol val="square"/>
            <c:size val="7"/>
            <c:spPr>
              <a:solidFill>
                <a:srgbClr val="7030A0"/>
              </a:solidFill>
              <a:ln w="9525">
                <a:noFill/>
              </a:ln>
              <a:effectLst/>
            </c:spPr>
          </c:marker>
          <c:xVal>
            <c:numRef>
              <c:f>Preference_Analysis!$F$23:$F$28</c:f>
              <c:numCache>
                <c:formatCode>"$"#,###.0,,\ "M"</c:formatCode>
                <c:ptCount val="6"/>
                <c:pt idx="0">
                  <c:v>671564712.86392438</c:v>
                </c:pt>
                <c:pt idx="1">
                  <c:v>109840408.70398206</c:v>
                </c:pt>
                <c:pt idx="2">
                  <c:v>-451883895.45596027</c:v>
                </c:pt>
                <c:pt idx="3">
                  <c:v>-1013608199.6159024</c:v>
                </c:pt>
                <c:pt idx="4">
                  <c:v>-1575332503.7758448</c:v>
                </c:pt>
                <c:pt idx="5">
                  <c:v>-2137056807.9357877</c:v>
                </c:pt>
              </c:numCache>
              <c:extLst xmlns:c15="http://schemas.microsoft.com/office/drawing/2012/chart"/>
            </c:numRef>
          </c:xVal>
          <c:yVal>
            <c:numRef>
              <c:f>Preference_Analysis!$B$23:$B$28</c:f>
              <c:numCache>
                <c:formatCode>"$"#,##0.00</c:formatCode>
                <c:ptCount val="6"/>
                <c:pt idx="0">
                  <c:v>0</c:v>
                </c:pt>
                <c:pt idx="1">
                  <c:v>16</c:v>
                </c:pt>
                <c:pt idx="2">
                  <c:v>32</c:v>
                </c:pt>
                <c:pt idx="3">
                  <c:v>48</c:v>
                </c:pt>
                <c:pt idx="4">
                  <c:v>64</c:v>
                </c:pt>
                <c:pt idx="5">
                  <c:v>80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5-BBEF-420F-A131-EA071B64CCA9}"/>
            </c:ext>
          </c:extLst>
        </c:ser>
        <c:ser>
          <c:idx val="5"/>
          <c:order val="5"/>
          <c:tx>
            <c:strRef>
              <c:f>Preference_Analysis!$K$4</c:f>
              <c:strCache>
                <c:ptCount val="1"/>
                <c:pt idx="0">
                  <c:v>Intersection Points (NPV,Feedstock: Electricity Price)</c:v>
                </c:pt>
              </c:strCache>
              <c:extLst xmlns:c15="http://schemas.microsoft.com/office/drawing/2012/chart"/>
            </c:strRef>
          </c:tx>
          <c:spPr>
            <a:ln w="25400" cap="rnd">
              <a:noFill/>
              <a:round/>
            </a:ln>
            <a:effectLst/>
          </c:spPr>
          <c:marker>
            <c:symbol val="circle"/>
            <c:size val="7"/>
            <c:spPr>
              <a:noFill/>
              <a:ln w="9525">
                <a:solidFill>
                  <a:schemeClr val="tx1"/>
                </a:solidFill>
              </a:ln>
              <a:effectLst/>
            </c:spPr>
          </c:marker>
          <c:dLbls>
            <c:dLbl>
              <c:idx val="0"/>
              <c:layout>
                <c:manualLayout>
                  <c:x val="5.2389457206948861E-2"/>
                  <c:y val="-6.6920706984746836E-2"/>
                </c:manualLayout>
              </c:layout>
              <c:dLblPos val="r"/>
              <c:showLegendKey val="0"/>
              <c:showVal val="1"/>
              <c:showCatName val="1"/>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1-027D-45F5-AFD5-8AD8E38F6315}"/>
                </c:ext>
              </c:extLst>
            </c:dLbl>
            <c:dLbl>
              <c:idx val="1"/>
              <c:layout>
                <c:manualLayout>
                  <c:x val="0.16651408150557095"/>
                  <c:y val="1.2121894233032443E-2"/>
                </c:manualLayout>
              </c:layout>
              <c:dLblPos val="r"/>
              <c:showLegendKey val="0"/>
              <c:showVal val="1"/>
              <c:showCatName val="1"/>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0-2F96-4148-AC16-F637990441D5}"/>
                </c:ext>
              </c:extLst>
            </c:dLbl>
            <c:dLbl>
              <c:idx val="2"/>
              <c:layout>
                <c:manualLayout>
                  <c:x val="-0.19115638261517376"/>
                  <c:y val="-8.6324063837757321E-3"/>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630-4EE0-A849-63B36FF2622F}"/>
                </c:ext>
              </c:extLst>
            </c:dLbl>
            <c:dLbl>
              <c:idx val="3"/>
              <c:layout>
                <c:manualLayout>
                  <c:x val="-0.1875405571561391"/>
                  <c:y val="3.8917449346304062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630-4EE0-A849-63B36FF2622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400" b="0" i="0" u="none" strike="noStrike" kern="1200" baseline="0">
                    <a:solidFill>
                      <a:sysClr val="windowText" lastClr="000000"/>
                    </a:solidFill>
                    <a:latin typeface="+mn-lt"/>
                    <a:ea typeface="+mn-ea"/>
                    <a:cs typeface="+mn-cs"/>
                  </a:defRPr>
                </a:pPr>
                <a:endParaRPr lang="en-US"/>
              </a:p>
            </c:txPr>
            <c:dLblPos val="l"/>
            <c:showLegendKey val="0"/>
            <c:showVal val="1"/>
            <c:showCatName val="1"/>
            <c:showSerName val="0"/>
            <c:showPercent val="0"/>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Preference_Analysis!$K$6:$K$9</c:f>
              <c:numCache>
                <c:formatCode>"$"#,###,,\ "M"</c:formatCode>
                <c:ptCount val="4"/>
                <c:pt idx="0">
                  <c:v>1691447653.7380517</c:v>
                </c:pt>
                <c:pt idx="1">
                  <c:v>510950648.44319069</c:v>
                </c:pt>
                <c:pt idx="2">
                  <c:v>1066318522.4904529</c:v>
                </c:pt>
                <c:pt idx="3">
                  <c:v>537813184.76797438</c:v>
                </c:pt>
              </c:numCache>
            </c:numRef>
          </c:xVal>
          <c:yVal>
            <c:numRef>
              <c:f>Preference_Analysis!$L$6:$L$9</c:f>
              <c:numCache>
                <c:formatCode>"$"#,##0.0</c:formatCode>
                <c:ptCount val="4"/>
                <c:pt idx="0">
                  <c:v>44.419206463462686</c:v>
                </c:pt>
                <c:pt idx="1">
                  <c:v>3.0640362305851174</c:v>
                </c:pt>
                <c:pt idx="2">
                  <c:v>20.569589263263964</c:v>
                </c:pt>
                <c:pt idx="3">
                  <c:v>3.8097416004379543</c:v>
                </c:pt>
              </c:numCache>
            </c:numRef>
          </c:yVal>
          <c:smooth val="0"/>
          <c:extLst xmlns:c15="http://schemas.microsoft.com/office/drawing/2012/chart">
            <c:ext xmlns:c16="http://schemas.microsoft.com/office/drawing/2014/chart" uri="{C3380CC4-5D6E-409C-BE32-E72D297353CC}">
              <c16:uniqueId val="{00000006-BBEF-420F-A131-EA071B64CCA9}"/>
            </c:ext>
          </c:extLst>
        </c:ser>
        <c:dLbls>
          <c:showLegendKey val="0"/>
          <c:showVal val="0"/>
          <c:showCatName val="0"/>
          <c:showSerName val="0"/>
          <c:showPercent val="0"/>
          <c:showBubbleSize val="0"/>
        </c:dLbls>
        <c:axId val="1366289759"/>
        <c:axId val="424599471"/>
        <c:extLst/>
      </c:scatterChart>
      <c:valAx>
        <c:axId val="1366289759"/>
        <c:scaling>
          <c:orientation val="minMax"/>
          <c:max val="3250906893.864543"/>
          <c:min val="-2190099396.134878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r>
                  <a:rPr lang="en-US" sz="1500" b="1"/>
                  <a:t>Net</a:t>
                </a:r>
                <a:r>
                  <a:rPr lang="en-US" sz="1500" b="1" baseline="0"/>
                  <a:t> Present Value, </a:t>
                </a:r>
                <a:r>
                  <a:rPr lang="en-US" sz="1500" b="1"/>
                  <a:t>$</a:t>
                </a:r>
              </a:p>
            </c:rich>
          </c:tx>
          <c:layout>
            <c:manualLayout>
              <c:xMode val="edge"/>
              <c:yMode val="edge"/>
              <c:x val="0.38666519958415951"/>
              <c:y val="0.89664393855531388"/>
            </c:manualLayout>
          </c:layout>
          <c:overlay val="0"/>
          <c:spPr>
            <a:noFill/>
            <a:ln>
              <a:noFill/>
            </a:ln>
            <a:effectLst/>
          </c:spPr>
          <c:txPr>
            <a:bodyPr rot="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quot;$&quot;#,###.0,,\ &quot;M&quot;"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424599471"/>
        <c:crosses val="autoZero"/>
        <c:crossBetween val="midCat"/>
      </c:valAx>
      <c:valAx>
        <c:axId val="4245994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r>
                  <a:rPr lang="en-US" sz="1500" b="1"/>
                  <a:t>Feedstock: Electricity Price, $/MWh</a:t>
                </a:r>
              </a:p>
            </c:rich>
          </c:tx>
          <c:layout>
            <c:manualLayout>
              <c:xMode val="edge"/>
              <c:yMode val="edge"/>
              <c:x val="3.2832085888662481E-2"/>
              <c:y val="0.13516587767790259"/>
            </c:manualLayout>
          </c:layout>
          <c:overlay val="0"/>
          <c:spPr>
            <a:noFill/>
            <a:ln>
              <a:noFill/>
            </a:ln>
            <a:effectLst/>
          </c:spPr>
          <c:txPr>
            <a:bodyPr rot="-540000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low"/>
        <c:spPr>
          <a:noFill/>
          <a:ln w="25400" cap="flat" cmpd="sng" algn="ctr">
            <a:solidFill>
              <a:schemeClr val="tx1"/>
            </a:solidFill>
            <a:prstDash val="lgDash"/>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366289759"/>
        <c:crosses val="autoZero"/>
        <c:crossBetween val="midCat"/>
      </c:valAx>
      <c:valAx>
        <c:axId val="67955311"/>
        <c:scaling>
          <c:orientation val="minMax"/>
        </c:scaling>
        <c:delete val="1"/>
        <c:axPos val="r"/>
        <c:numFmt formatCode="General" sourceLinked="1"/>
        <c:majorTickMark val="out"/>
        <c:minorTickMark val="none"/>
        <c:tickLblPos val="nextTo"/>
        <c:crossAx val="67938511"/>
        <c:crosses val="max"/>
        <c:crossBetween val="between"/>
      </c:valAx>
      <c:dateAx>
        <c:axId val="67938511"/>
        <c:scaling>
          <c:orientation val="minMax"/>
        </c:scaling>
        <c:delete val="1"/>
        <c:axPos val="t"/>
        <c:numFmt formatCode="&quot;$&quot;#,##0.00" sourceLinked="1"/>
        <c:majorTickMark val="out"/>
        <c:minorTickMark val="none"/>
        <c:tickLblPos val="nextTo"/>
        <c:crossAx val="67955311"/>
        <c:crosses val="max"/>
        <c:auto val="0"/>
        <c:lblOffset val="100"/>
        <c:baseTimeUnit val="days"/>
        <c:minorUnit val="1"/>
      </c:dateAx>
      <c:spPr>
        <a:noFill/>
        <a:ln>
          <a:noFill/>
        </a:ln>
        <a:effectLst/>
      </c:spPr>
    </c:plotArea>
    <c:legend>
      <c:legendPos val="r"/>
      <c:layout>
        <c:manualLayout>
          <c:xMode val="edge"/>
          <c:yMode val="edge"/>
          <c:x val="0.67846469051517222"/>
          <c:y val="3.6448910872452354E-2"/>
          <c:w val="0.2796038372285875"/>
          <c:h val="0.90987328245111099"/>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Sensitivity_Tornado!$B$15</c:f>
          <c:strCache>
            <c:ptCount val="1"/>
            <c:pt idx="0">
              <c:v>(a) HTSE: Parameter Sensitivity of LCOH without PTC ($/kg)</c:v>
            </c:pt>
          </c:strCache>
        </c:strRef>
      </c:tx>
      <c:layout>
        <c:manualLayout>
          <c:xMode val="edge"/>
          <c:yMode val="edge"/>
          <c:x val="0.25520320594620882"/>
          <c:y val="1.3466180015000287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44694348925127375"/>
          <c:y val="0.20894610955888579"/>
          <c:w val="0.52539104486939137"/>
          <c:h val="0.71040872915079167"/>
        </c:manualLayout>
      </c:layout>
      <c:barChart>
        <c:barDir val="bar"/>
        <c:grouping val="clustered"/>
        <c:varyColors val="0"/>
        <c:ser>
          <c:idx val="0"/>
          <c:order val="0"/>
          <c:tx>
            <c:v>lower bound</c:v>
          </c:tx>
          <c:spPr>
            <a:solidFill>
              <a:schemeClr val="accent1"/>
            </a:solidFill>
            <a:ln>
              <a:noFill/>
            </a:ln>
            <a:effectLst/>
          </c:spPr>
          <c:invertIfNegative val="0"/>
          <c:dLbls>
            <c:dLbl>
              <c:idx val="0"/>
              <c:layout>
                <c:manualLayout>
                  <c:x val="8.5161541184898982E-3"/>
                  <c:y val="8.6614546186871508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88-4115-9691-F6BDEFBE89DE}"/>
                </c:ext>
              </c:extLst>
            </c:dLbl>
            <c:dLbl>
              <c:idx val="1"/>
              <c:layout>
                <c:manualLayout>
                  <c:x val="3.5080015391265209E-3"/>
                  <c:y val="9.095195106945709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7F-4219-AB53-04503F593E4B}"/>
                </c:ext>
              </c:extLst>
            </c:dLbl>
            <c:dLbl>
              <c:idx val="2"/>
              <c:layout>
                <c:manualLayout>
                  <c:x val="1.0026473048123968E-2"/>
                  <c:y val="4.348227442587192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A7F-4219-AB53-04503F593E4B}"/>
                </c:ext>
              </c:extLst>
            </c:dLbl>
            <c:dLbl>
              <c:idx val="4"/>
              <c:layout>
                <c:manualLayout>
                  <c:x val="-7.1727900588704513E-2"/>
                  <c:y val="4.2984233122822738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19B-4325-91A4-479B626DAEB2}"/>
                </c:ext>
              </c:extLst>
            </c:dLbl>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Price, $/MWh [25, 33, 60]</c:v>
                </c:pt>
                <c:pt idx="1">
                  <c:v>Direct Capital Cost (Base), $ MM [355, 444, 533]</c:v>
                </c:pt>
                <c:pt idx="2">
                  <c:v>Stack Cost, $/kW-dc [122, 153, 183]</c:v>
                </c:pt>
                <c:pt idx="3">
                  <c:v>Stack degradation rate for the 2nd year of stack, %/1000 hr [0.2, 0.25, 0.3]</c:v>
                </c:pt>
                <c:pt idx="4">
                  <c:v>Hydrogen Market Price, $/kg-H2 [0.5, 2.5, 5]</c:v>
                </c:pt>
                <c:pt idx="5">
                  <c:v>H2 PTC (IRA 45 V), $/kg-H2 [0, 3, 3]</c:v>
                </c:pt>
                <c:pt idx="6">
                  <c:v>#N/A</c:v>
                </c:pt>
              </c:strCache>
            </c:strRef>
          </c:cat>
          <c:val>
            <c:numRef>
              <c:f>Sensitivity_Tornado!$R$17:$R$21</c:f>
              <c:numCache>
                <c:formatCode>"$"#,##0.00</c:formatCode>
                <c:ptCount val="5"/>
                <c:pt idx="0">
                  <c:v>2.8523735650616651</c:v>
                </c:pt>
                <c:pt idx="1">
                  <c:v>3.1563970318076637</c:v>
                </c:pt>
                <c:pt idx="2">
                  <c:v>3.2888424113043442</c:v>
                </c:pt>
                <c:pt idx="3">
                  <c:v>3.343123985369354</c:v>
                </c:pt>
                <c:pt idx="4">
                  <c:v>3.3541065509114483</c:v>
                </c:pt>
              </c:numCache>
            </c:numRef>
          </c:val>
          <c:extLst>
            <c:ext xmlns:c16="http://schemas.microsoft.com/office/drawing/2014/chart" uri="{C3380CC4-5D6E-409C-BE32-E72D297353CC}">
              <c16:uniqueId val="{00000000-3CD0-43EB-BA49-C9E68CF556B0}"/>
            </c:ext>
          </c:extLst>
        </c:ser>
        <c:ser>
          <c:idx val="2"/>
          <c:order val="1"/>
          <c:tx>
            <c:v>base value</c:v>
          </c:tx>
          <c:spPr>
            <a:solidFill>
              <a:schemeClr val="accent3"/>
            </a:solidFill>
            <a:ln>
              <a:noFill/>
            </a:ln>
            <a:effectLst/>
          </c:spPr>
          <c:invertIfNegative val="0"/>
          <c:dLbls>
            <c:dLbl>
              <c:idx val="0"/>
              <c:layout>
                <c:manualLayout>
                  <c:x val="-2.7801827646831104E-2"/>
                  <c:y val="7.93003620177999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7DB-4533-86EC-F59AE60C6F69}"/>
                </c:ext>
              </c:extLst>
            </c:dLbl>
            <c:dLbl>
              <c:idx val="1"/>
              <c:delete val="1"/>
              <c:extLst>
                <c:ext xmlns:c15="http://schemas.microsoft.com/office/drawing/2012/chart" uri="{CE6537A1-D6FC-4f65-9D91-7224C49458BB}"/>
                <c:ext xmlns:c16="http://schemas.microsoft.com/office/drawing/2014/chart" uri="{C3380CC4-5D6E-409C-BE32-E72D297353CC}">
                  <c16:uniqueId val="{00000000-0484-4BA6-85B1-0A1AC0DA766E}"/>
                </c:ext>
              </c:extLst>
            </c:dLbl>
            <c:dLbl>
              <c:idx val="2"/>
              <c:delete val="1"/>
              <c:extLst>
                <c:ext xmlns:c15="http://schemas.microsoft.com/office/drawing/2012/chart" uri="{CE6537A1-D6FC-4f65-9D91-7224C49458BB}"/>
                <c:ext xmlns:c16="http://schemas.microsoft.com/office/drawing/2014/chart" uri="{C3380CC4-5D6E-409C-BE32-E72D297353CC}">
                  <c16:uniqueId val="{00000001-0484-4BA6-85B1-0A1AC0DA766E}"/>
                </c:ext>
              </c:extLst>
            </c:dLbl>
            <c:dLbl>
              <c:idx val="3"/>
              <c:delete val="1"/>
              <c:extLst>
                <c:ext xmlns:c15="http://schemas.microsoft.com/office/drawing/2012/chart" uri="{CE6537A1-D6FC-4f65-9D91-7224C49458BB}"/>
                <c:ext xmlns:c16="http://schemas.microsoft.com/office/drawing/2014/chart" uri="{C3380CC4-5D6E-409C-BE32-E72D297353CC}">
                  <c16:uniqueId val="{00000000-237E-416D-998D-439B6CEC15C8}"/>
                </c:ext>
              </c:extLst>
            </c:dLbl>
            <c:dLbl>
              <c:idx val="4"/>
              <c:delete val="1"/>
              <c:extLst>
                <c:ext xmlns:c15="http://schemas.microsoft.com/office/drawing/2012/chart" uri="{CE6537A1-D6FC-4f65-9D91-7224C49458BB}"/>
                <c:ext xmlns:c16="http://schemas.microsoft.com/office/drawing/2014/chart" uri="{C3380CC4-5D6E-409C-BE32-E72D297353CC}">
                  <c16:uniqueId val="{00000001-4AFE-44D6-A590-ABA1540ADE4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Sensitivity_Tornado!$D$17:$D$24</c:f>
              <c:strCache>
                <c:ptCount val="7"/>
                <c:pt idx="0">
                  <c:v>Feedstock: Electricity Price, $/MWh [25, 33, 60]</c:v>
                </c:pt>
                <c:pt idx="1">
                  <c:v>Direct Capital Cost (Base), $ MM [355, 444, 533]</c:v>
                </c:pt>
                <c:pt idx="2">
                  <c:v>Stack Cost, $/kW-dc [122, 153, 183]</c:v>
                </c:pt>
                <c:pt idx="3">
                  <c:v>Stack degradation rate for the 2nd year of stack, %/1000 hr [0.2, 0.25, 0.3]</c:v>
                </c:pt>
                <c:pt idx="4">
                  <c:v>Hydrogen Market Price, $/kg-H2 [0.5, 2.5, 5]</c:v>
                </c:pt>
                <c:pt idx="5">
                  <c:v>H2 PTC (IRA 45 V), $/kg-H2 [0, 3, 3]</c:v>
                </c:pt>
                <c:pt idx="6">
                  <c:v>#N/A</c:v>
                </c:pt>
              </c:strCache>
            </c:strRef>
          </c:cat>
          <c:val>
            <c:numRef>
              <c:f>Sensitivity_Tornado!$S$17:$S$21</c:f>
              <c:numCache>
                <c:formatCode>"$"#,##0.00</c:formatCode>
                <c:ptCount val="5"/>
                <c:pt idx="0">
                  <c:v>3.3541065509114483</c:v>
                </c:pt>
                <c:pt idx="1">
                  <c:v>3.3541065509114483</c:v>
                </c:pt>
                <c:pt idx="2">
                  <c:v>3.3541065509114483</c:v>
                </c:pt>
                <c:pt idx="3">
                  <c:v>3.3541065509114483</c:v>
                </c:pt>
                <c:pt idx="4">
                  <c:v>3.3541065509114483</c:v>
                </c:pt>
              </c:numCache>
            </c:numRef>
          </c:val>
          <c:extLst>
            <c:ext xmlns:c16="http://schemas.microsoft.com/office/drawing/2014/chart" uri="{C3380CC4-5D6E-409C-BE32-E72D297353CC}">
              <c16:uniqueId val="{00000002-3CD0-43EB-BA49-C9E68CF556B0}"/>
            </c:ext>
          </c:extLst>
        </c:ser>
        <c:ser>
          <c:idx val="1"/>
          <c:order val="2"/>
          <c:tx>
            <c:v>upper bound</c:v>
          </c:tx>
          <c:spPr>
            <a:solidFill>
              <a:schemeClr val="accent2"/>
            </a:solidFill>
            <a:ln>
              <a:noFill/>
            </a:ln>
            <a:effectLst/>
          </c:spPr>
          <c:invertIfNegative val="0"/>
          <c:dLbls>
            <c:dLbl>
              <c:idx val="0"/>
              <c:layout>
                <c:manualLayout>
                  <c:x val="5.2763487095060877E-3"/>
                  <c:y val="-4.33632566357220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7DB-4533-86EC-F59AE60C6F69}"/>
                </c:ext>
              </c:extLst>
            </c:dLbl>
            <c:dLbl>
              <c:idx val="1"/>
              <c:layout>
                <c:manualLayout>
                  <c:x val="7.9365079365079361E-3"/>
                  <c:y val="1.0583354500042334E-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7DB-4533-86EC-F59AE60C6F69}"/>
                </c:ext>
              </c:extLst>
            </c:dLbl>
            <c:dLbl>
              <c:idx val="2"/>
              <c:layout>
                <c:manualLayout>
                  <c:x val="3.5556192747864057E-3"/>
                  <c:y val="4.302479037772298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7DB-4533-86EC-F59AE60C6F69}"/>
                </c:ext>
              </c:extLst>
            </c:dLbl>
            <c:dLbl>
              <c:idx val="3"/>
              <c:layout>
                <c:manualLayout>
                  <c:x val="-1.3378968515803384E-16"/>
                  <c:y val="3.3856460794556963E-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389-4BFA-9A66-0FB7657C5EB3}"/>
                </c:ext>
              </c:extLst>
            </c:dLbl>
            <c:dLbl>
              <c:idx val="4"/>
              <c:layout>
                <c:manualLayout>
                  <c:x val="5.5649482578721057E-3"/>
                  <c:y val="4.360149132294530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AFE-44D6-A590-ABA1540ADE4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Price, $/MWh [25, 33, 60]</c:v>
                </c:pt>
                <c:pt idx="1">
                  <c:v>Direct Capital Cost (Base), $ MM [355, 444, 533]</c:v>
                </c:pt>
                <c:pt idx="2">
                  <c:v>Stack Cost, $/kW-dc [122, 153, 183]</c:v>
                </c:pt>
                <c:pt idx="3">
                  <c:v>Stack degradation rate for the 2nd year of stack, %/1000 hr [0.2, 0.25, 0.3]</c:v>
                </c:pt>
                <c:pt idx="4">
                  <c:v>Hydrogen Market Price, $/kg-H2 [0.5, 2.5, 5]</c:v>
                </c:pt>
                <c:pt idx="5">
                  <c:v>H2 PTC (IRA 45 V), $/kg-H2 [0, 3, 3]</c:v>
                </c:pt>
                <c:pt idx="6">
                  <c:v>#N/A</c:v>
                </c:pt>
              </c:strCache>
            </c:strRef>
          </c:cat>
          <c:val>
            <c:numRef>
              <c:f>Sensitivity_Tornado!$T$17:$T$21</c:f>
              <c:numCache>
                <c:formatCode>"$"#,##0.00</c:formatCode>
                <c:ptCount val="5"/>
                <c:pt idx="0">
                  <c:v>4.9529303240021436</c:v>
                </c:pt>
                <c:pt idx="1">
                  <c:v>3.5518160700152333</c:v>
                </c:pt>
                <c:pt idx="2">
                  <c:v>3.4193706905185519</c:v>
                </c:pt>
                <c:pt idx="3">
                  <c:v>3.3650595561700429</c:v>
                </c:pt>
                <c:pt idx="4">
                  <c:v>3.3541065509114483</c:v>
                </c:pt>
              </c:numCache>
            </c:numRef>
          </c:val>
          <c:extLst>
            <c:ext xmlns:c16="http://schemas.microsoft.com/office/drawing/2014/chart" uri="{C3380CC4-5D6E-409C-BE32-E72D297353CC}">
              <c16:uniqueId val="{00000001-3CD0-43EB-BA49-C9E68CF556B0}"/>
            </c:ext>
          </c:extLst>
        </c:ser>
        <c:dLbls>
          <c:showLegendKey val="0"/>
          <c:showVal val="0"/>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3.3540999999999999"/>
        <c:auto val="1"/>
        <c:lblAlgn val="ctr"/>
        <c:lblOffset val="100"/>
        <c:noMultiLvlLbl val="0"/>
      </c:catAx>
      <c:valAx>
        <c:axId val="1441999008"/>
        <c:scaling>
          <c:orientation val="minMax"/>
          <c:min val="1.5"/>
        </c:scaling>
        <c:delete val="0"/>
        <c:axPos val="t"/>
        <c:majorGridlines>
          <c:spPr>
            <a:ln w="9525" cap="flat" cmpd="sng" algn="ctr">
              <a:solidFill>
                <a:schemeClr val="tx1">
                  <a:lumMod val="15000"/>
                  <a:lumOff val="85000"/>
                </a:schemeClr>
              </a:solidFill>
              <a:round/>
            </a:ln>
            <a:effectLst/>
          </c:spPr>
        </c:majorGridlines>
        <c:numFmt formatCode="&quot;$&quot;#,##0.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1181402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Sensitivity_Tornado!$B$26</c:f>
          <c:strCache>
            <c:ptCount val="1"/>
            <c:pt idx="0">
              <c:v>(a) HTSE: Sensitivity Annalysis of NPVH2 with PTC ($ Million)</c:v>
            </c:pt>
          </c:strCache>
        </c:strRef>
      </c:tx>
      <c:layout>
        <c:manualLayout>
          <c:xMode val="edge"/>
          <c:yMode val="edge"/>
          <c:x val="0.30402020328621093"/>
          <c:y val="1.2985079122958595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1491018234014332"/>
          <c:y val="0.2320541475284339"/>
          <c:w val="0.5215371516060493"/>
          <c:h val="0.7357226180156291"/>
        </c:manualLayout>
      </c:layout>
      <c:barChart>
        <c:barDir val="bar"/>
        <c:grouping val="clustered"/>
        <c:varyColors val="0"/>
        <c:ser>
          <c:idx val="0"/>
          <c:order val="0"/>
          <c:tx>
            <c:v>lower bound</c:v>
          </c:tx>
          <c:spPr>
            <a:solidFill>
              <a:schemeClr val="accent1"/>
            </a:solidFill>
            <a:ln>
              <a:noFill/>
            </a:ln>
            <a:effectLst/>
          </c:spPr>
          <c:invertIfNegative val="0"/>
          <c:dLbls>
            <c:dLbl>
              <c:idx val="0"/>
              <c:layout>
                <c:manualLayout>
                  <c:x val="-7.5159616576030777E-2"/>
                  <c:y val="-6.9574054935995985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8.9393868017058911E-2"/>
                      <c:h val="7.9021421150481178E-2"/>
                    </c:manualLayout>
                  </c15:layout>
                </c:ext>
                <c:ext xmlns:c16="http://schemas.microsoft.com/office/drawing/2014/chart" uri="{C3380CC4-5D6E-409C-BE32-E72D297353CC}">
                  <c16:uniqueId val="{00000000-48BC-494E-8215-D9BE659CE309}"/>
                </c:ext>
              </c:extLst>
            </c:dLbl>
            <c:dLbl>
              <c:idx val="1"/>
              <c:layout>
                <c:manualLayout>
                  <c:x val="-5.3416141054854004E-2"/>
                  <c:y val="-2.9669694721474803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7.3340142466750788E-2"/>
                      <c:h val="7.6605902777777776E-2"/>
                    </c:manualLayout>
                  </c15:layout>
                </c:ext>
                <c:ext xmlns:c16="http://schemas.microsoft.com/office/drawing/2014/chart" uri="{C3380CC4-5D6E-409C-BE32-E72D297353CC}">
                  <c16:uniqueId val="{00000000-DD06-4F7C-8FC6-DEB75A314BE3}"/>
                </c:ext>
              </c:extLst>
            </c:dLbl>
            <c:dLbl>
              <c:idx val="2"/>
              <c:layout>
                <c:manualLayout>
                  <c:x val="5.8799764663117274E-3"/>
                  <c:y val="7.460151465441819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090-46D1-8DA7-254B9BD59246}"/>
                </c:ext>
              </c:extLst>
            </c:dLbl>
            <c:dLbl>
              <c:idx val="3"/>
              <c:layout>
                <c:manualLayout>
                  <c:x val="9.4683673499048303E-4"/>
                  <c:y val="8.686640169187744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090-46D1-8DA7-254B9BD59246}"/>
                </c:ext>
              </c:extLst>
            </c:dLbl>
            <c:numFmt formatCode="&quot;$&quot;#,##0" sourceLinked="0"/>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Hydrogen Market Price, $/kg-H2 [0.5, 2.5, 5]</c:v>
                </c:pt>
                <c:pt idx="1">
                  <c:v>Feedstock: Electricity Price, $/MWh [60, 33, 25]</c:v>
                </c:pt>
                <c:pt idx="2">
                  <c:v>H2 PTC (IRA 45 V), $/kg-H2 [0, 3, 3]</c:v>
                </c:pt>
                <c:pt idx="3">
                  <c:v>Direct Capital Cost (Base), $ MM [533, 444, 355]</c:v>
                </c:pt>
                <c:pt idx="4">
                  <c:v>Stack Cost, $/kW-dc [183, 153, 122]</c:v>
                </c:pt>
                <c:pt idx="5">
                  <c:v>Stack degradation rate for the 2nd year of stack, %/1000 hr [0.3, 0.25, 0.2]</c:v>
                </c:pt>
                <c:pt idx="6">
                  <c:v>#N/A</c:v>
                </c:pt>
              </c:strCache>
            </c:strRef>
          </c:cat>
          <c:val>
            <c:numRef>
              <c:f>Sensitivity_Tornado!$R$28:$R$33</c:f>
              <c:numCache>
                <c:formatCode>"$"#,##0.00</c:formatCode>
                <c:ptCount val="6"/>
                <c:pt idx="0">
                  <c:v>-552673049.50864625</c:v>
                </c:pt>
                <c:pt idx="1">
                  <c:v>-317995229.62396789</c:v>
                </c:pt>
                <c:pt idx="2">
                  <c:v>-499630461.30955529</c:v>
                </c:pt>
                <c:pt idx="3">
                  <c:v>501620730.84353548</c:v>
                </c:pt>
                <c:pt idx="4">
                  <c:v>579097886.34085512</c:v>
                </c:pt>
                <c:pt idx="5">
                  <c:v>609226153.56906581</c:v>
                </c:pt>
              </c:numCache>
            </c:numRef>
          </c:val>
          <c:extLst>
            <c:ext xmlns:c16="http://schemas.microsoft.com/office/drawing/2014/chart" uri="{C3380CC4-5D6E-409C-BE32-E72D297353CC}">
              <c16:uniqueId val="{00000000-962F-4F14-AB32-80029DE309CC}"/>
            </c:ext>
          </c:extLst>
        </c:ser>
        <c:ser>
          <c:idx val="2"/>
          <c:order val="1"/>
          <c:tx>
            <c:v>base value</c:v>
          </c:tx>
          <c:spPr>
            <a:solidFill>
              <a:schemeClr val="accent3"/>
            </a:solidFill>
            <a:ln>
              <a:noFill/>
            </a:ln>
            <a:effectLst/>
          </c:spPr>
          <c:invertIfNegative val="0"/>
          <c:dLbls>
            <c:dLbl>
              <c:idx val="0"/>
              <c:layout>
                <c:manualLayout>
                  <c:x val="-4.0612110271791187E-2"/>
                  <c:y val="7.829792760279964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A6-46AA-B582-F8ACC2DB7A57}"/>
                </c:ext>
              </c:extLst>
            </c:dLbl>
            <c:dLbl>
              <c:idx val="1"/>
              <c:delete val="1"/>
              <c:extLst>
                <c:ext xmlns:c15="http://schemas.microsoft.com/office/drawing/2012/chart" uri="{CE6537A1-D6FC-4f65-9D91-7224C49458BB}"/>
                <c:ext xmlns:c16="http://schemas.microsoft.com/office/drawing/2014/chart" uri="{C3380CC4-5D6E-409C-BE32-E72D297353CC}">
                  <c16:uniqueId val="{00000002-AB02-4728-B439-1ADA12945E2C}"/>
                </c:ext>
              </c:extLst>
            </c:dLbl>
            <c:dLbl>
              <c:idx val="2"/>
              <c:delete val="1"/>
              <c:extLst>
                <c:ext xmlns:c15="http://schemas.microsoft.com/office/drawing/2012/chart" uri="{CE6537A1-D6FC-4f65-9D91-7224C49458BB}"/>
                <c:ext xmlns:c16="http://schemas.microsoft.com/office/drawing/2014/chart" uri="{C3380CC4-5D6E-409C-BE32-E72D297353CC}">
                  <c16:uniqueId val="{00000000-AB02-4728-B439-1ADA12945E2C}"/>
                </c:ext>
              </c:extLst>
            </c:dLbl>
            <c:dLbl>
              <c:idx val="3"/>
              <c:delete val="1"/>
              <c:extLst>
                <c:ext xmlns:c15="http://schemas.microsoft.com/office/drawing/2012/chart" uri="{CE6537A1-D6FC-4f65-9D91-7224C49458BB}"/>
                <c:ext xmlns:c16="http://schemas.microsoft.com/office/drawing/2014/chart" uri="{C3380CC4-5D6E-409C-BE32-E72D297353CC}">
                  <c16:uniqueId val="{00000003-AB02-4728-B439-1ADA12945E2C}"/>
                </c:ext>
              </c:extLst>
            </c:dLbl>
            <c:dLbl>
              <c:idx val="4"/>
              <c:delete val="1"/>
              <c:extLst>
                <c:ext xmlns:c15="http://schemas.microsoft.com/office/drawing/2012/chart" uri="{CE6537A1-D6FC-4f65-9D91-7224C49458BB}"/>
                <c:ext xmlns:c16="http://schemas.microsoft.com/office/drawing/2014/chart" uri="{C3380CC4-5D6E-409C-BE32-E72D297353CC}">
                  <c16:uniqueId val="{00000000-B664-4956-A967-7983B3597165}"/>
                </c:ext>
              </c:extLst>
            </c:dLbl>
            <c:dLbl>
              <c:idx val="5"/>
              <c:delete val="1"/>
              <c:extLst>
                <c:ext xmlns:c15="http://schemas.microsoft.com/office/drawing/2012/chart" uri="{CE6537A1-D6FC-4f65-9D91-7224C49458BB}"/>
                <c:ext xmlns:c16="http://schemas.microsoft.com/office/drawing/2014/chart" uri="{C3380CC4-5D6E-409C-BE32-E72D297353CC}">
                  <c16:uniqueId val="{00000001-31BC-49BF-90B4-5D0230113065}"/>
                </c:ext>
              </c:extLst>
            </c:dLbl>
            <c:numFmt formatCode="&quot;$&quot;#,##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Hydrogen Market Price, $/kg-H2 [0.5, 2.5, 5]</c:v>
                </c:pt>
                <c:pt idx="1">
                  <c:v>Feedstock: Electricity Price, $/MWh [60, 33, 25]</c:v>
                </c:pt>
                <c:pt idx="2">
                  <c:v>H2 PTC (IRA 45 V), $/kg-H2 [0, 3, 3]</c:v>
                </c:pt>
                <c:pt idx="3">
                  <c:v>Direct Capital Cost (Base), $ MM [533, 444, 355]</c:v>
                </c:pt>
                <c:pt idx="4">
                  <c:v>Stack Cost, $/kW-dc [183, 153, 122]</c:v>
                </c:pt>
                <c:pt idx="5">
                  <c:v>Stack degradation rate for the 2nd year of stack, %/1000 hr [0.3, 0.25, 0.2]</c:v>
                </c:pt>
                <c:pt idx="6">
                  <c:v>#N/A</c:v>
                </c:pt>
              </c:strCache>
            </c:strRef>
          </c:cat>
          <c:val>
            <c:numRef>
              <c:f>Sensitivity_Tornado!$S$28:$S$33</c:f>
              <c:numCache>
                <c:formatCode>"$"#,##0.00</c:formatCode>
                <c:ptCount val="6"/>
                <c:pt idx="0">
                  <c:v>617275736.80233586</c:v>
                </c:pt>
                <c:pt idx="1">
                  <c:v>617275736.80233586</c:v>
                </c:pt>
                <c:pt idx="2">
                  <c:v>617275736.80233586</c:v>
                </c:pt>
                <c:pt idx="3">
                  <c:v>617275736.80233586</c:v>
                </c:pt>
                <c:pt idx="4">
                  <c:v>617275736.80233586</c:v>
                </c:pt>
                <c:pt idx="5">
                  <c:v>617275736.80233586</c:v>
                </c:pt>
              </c:numCache>
            </c:numRef>
          </c:val>
          <c:extLst>
            <c:ext xmlns:c16="http://schemas.microsoft.com/office/drawing/2014/chart" uri="{C3380CC4-5D6E-409C-BE32-E72D297353CC}">
              <c16:uniqueId val="{00000002-962F-4F14-AB32-80029DE309CC}"/>
            </c:ext>
          </c:extLst>
        </c:ser>
        <c:ser>
          <c:idx val="1"/>
          <c:order val="2"/>
          <c:tx>
            <c:v>upper bound</c:v>
          </c:tx>
          <c:spPr>
            <a:solidFill>
              <a:schemeClr val="accent2"/>
            </a:solidFill>
            <a:ln>
              <a:noFill/>
            </a:ln>
            <a:effectLst/>
          </c:spPr>
          <c:invertIfNegative val="0"/>
          <c:dLbls>
            <c:dLbl>
              <c:idx val="0"/>
              <c:layout>
                <c:manualLayout>
                  <c:x val="4.0478951508187075E-2"/>
                  <c:y val="7.329943132108526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22C-4965-82F6-1836571BA424}"/>
                </c:ext>
              </c:extLst>
            </c:dLbl>
            <c:dLbl>
              <c:idx val="1"/>
              <c:layout>
                <c:manualLayout>
                  <c:x val="1.0193786845211364E-3"/>
                  <c:y val="4.77496233422760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2FF-4C99-902F-B651B450B1D8}"/>
                </c:ext>
              </c:extLst>
            </c:dLbl>
            <c:dLbl>
              <c:idx val="2"/>
              <c:layout>
                <c:manualLayout>
                  <c:x val="3.1913481300827854E-3"/>
                  <c:y val="4.618845024809796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93A-4218-BF8B-6BB493716E28}"/>
                </c:ext>
              </c:extLst>
            </c:dLbl>
            <c:dLbl>
              <c:idx val="3"/>
              <c:layout>
                <c:manualLayout>
                  <c:x val="1.4456338202340048E-2"/>
                  <c:y val="4.345150382752133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E5-4605-97C5-91D6F4A47AFC}"/>
                </c:ext>
              </c:extLst>
            </c:dLbl>
            <c:dLbl>
              <c:idx val="4"/>
              <c:layout>
                <c:manualLayout>
                  <c:x val="8.5211978946884131E-3"/>
                  <c:y val="1.302690375982522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0C7-461A-B75D-05A0A445DE37}"/>
                </c:ext>
              </c:extLst>
            </c:dLbl>
            <c:dLbl>
              <c:idx val="5"/>
              <c:layout>
                <c:manualLayout>
                  <c:x val="5.8635724693130459E-3"/>
                  <c:y val="4.3437828006031038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1BC-49BF-90B4-5D0230113065}"/>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Hydrogen Market Price, $/kg-H2 [0.5, 2.5, 5]</c:v>
                </c:pt>
                <c:pt idx="1">
                  <c:v>Feedstock: Electricity Price, $/MWh [60, 33, 25]</c:v>
                </c:pt>
                <c:pt idx="2">
                  <c:v>H2 PTC (IRA 45 V), $/kg-H2 [0, 3, 3]</c:v>
                </c:pt>
                <c:pt idx="3">
                  <c:v>Direct Capital Cost (Base), $ MM [533, 444, 355]</c:v>
                </c:pt>
                <c:pt idx="4">
                  <c:v>Stack Cost, $/kW-dc [183, 153, 122]</c:v>
                </c:pt>
                <c:pt idx="5">
                  <c:v>Stack degradation rate for the 2nd year of stack, %/1000 hr [0.3, 0.25, 0.2]</c:v>
                </c:pt>
                <c:pt idx="6">
                  <c:v>#N/A</c:v>
                </c:pt>
              </c:strCache>
            </c:strRef>
          </c:cat>
          <c:val>
            <c:numRef>
              <c:f>Sensitivity_Tornado!$T$28:$T$33</c:f>
              <c:numCache>
                <c:formatCode>"$"#,##0.00</c:formatCode>
                <c:ptCount val="6"/>
                <c:pt idx="0">
                  <c:v>2079711719.6910634</c:v>
                </c:pt>
                <c:pt idx="1">
                  <c:v>910776685.72590554</c:v>
                </c:pt>
                <c:pt idx="2">
                  <c:v>617275736.80233586</c:v>
                </c:pt>
                <c:pt idx="3">
                  <c:v>732930742.76113641</c:v>
                </c:pt>
                <c:pt idx="4">
                  <c:v>655453587.26381683</c:v>
                </c:pt>
                <c:pt idx="5">
                  <c:v>625391188.11094308</c:v>
                </c:pt>
              </c:numCache>
            </c:numRef>
          </c:val>
          <c:extLst>
            <c:ext xmlns:c16="http://schemas.microsoft.com/office/drawing/2014/chart" uri="{C3380CC4-5D6E-409C-BE32-E72D297353CC}">
              <c16:uniqueId val="{00000001-962F-4F14-AB32-80029DE309CC}"/>
            </c:ext>
          </c:extLst>
        </c:ser>
        <c:dLbls>
          <c:dLblPos val="outEnd"/>
          <c:showLegendKey val="0"/>
          <c:showVal val="1"/>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617275736.80229998"/>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118140288"/>
        <c:crosses val="autoZero"/>
        <c:crossBetween val="between"/>
        <c:dispUnits>
          <c:builtInUnit val="millions"/>
        </c:dispUnits>
      </c:valAx>
      <c:spPr>
        <a:noFill/>
        <a:ln>
          <a:solidFill>
            <a:schemeClr val="bg1">
              <a:lumMod val="75000"/>
            </a:schemeClr>
          </a:solidFill>
        </a:ln>
        <a:effectLst/>
      </c:spPr>
    </c:plotArea>
    <c:plotVisOnly val="1"/>
    <c:dispBlanksAs val="zero"/>
    <c:showDLblsOverMax val="0"/>
    <c:extLst/>
  </c:chart>
  <c:spPr>
    <a:noFill/>
    <a:ln w="28575" cap="flat" cmpd="sng" algn="ctr">
      <a:solidFill>
        <a:schemeClr val="tx1"/>
      </a:solid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(b) LTE</a:t>
            </a:r>
          </a:p>
        </c:rich>
      </c:tx>
      <c:layout>
        <c:manualLayout>
          <c:xMode val="edge"/>
          <c:yMode val="edge"/>
          <c:x val="2.7338492875111309E-2"/>
          <c:y val="2.38615300206118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5078275679150799"/>
          <c:y val="0.11209718180368365"/>
          <c:w val="0.58380751844366863"/>
          <c:h val="0.72806318565614458"/>
        </c:manualLayout>
      </c:layout>
      <c:barChart>
        <c:barDir val="bar"/>
        <c:grouping val="stacked"/>
        <c:varyColors val="0"/>
        <c:ser>
          <c:idx val="0"/>
          <c:order val="0"/>
          <c:tx>
            <c:strRef>
              <c:f>LCOH!$R$18</c:f>
              <c:strCache>
                <c:ptCount val="1"/>
                <c:pt idx="0">
                  <c:v>Electricity</c:v>
                </c:pt>
              </c:strCache>
            </c:strRef>
          </c:tx>
          <c:spPr>
            <a:solidFill>
              <a:schemeClr val="accent1"/>
            </a:solidFill>
            <a:ln>
              <a:noFill/>
            </a:ln>
            <a:effectLst/>
          </c:spPr>
          <c:invertIfNegative val="0"/>
          <c:dLbls>
            <c:dLbl>
              <c:idx val="1"/>
              <c:layout>
                <c:manualLayout>
                  <c:x val="4.2636650464739226E-3"/>
                  <c:y val="-9.523804762502309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LCOH!$S$18:$T$18</c:f>
              <c:numCache>
                <c:formatCode>"$"#,##0.00</c:formatCode>
                <c:ptCount val="2"/>
                <c:pt idx="1">
                  <c:v>1.2632407133349683</c:v>
                </c:pt>
              </c:numCache>
            </c:numRef>
          </c:val>
          <c:extLst>
            <c:ext xmlns:c16="http://schemas.microsoft.com/office/drawing/2014/chart" uri="{C3380CC4-5D6E-409C-BE32-E72D297353CC}">
              <c16:uniqueId val="{00000000-70CB-4721-BADE-C273136E5F07}"/>
            </c:ext>
          </c:extLst>
        </c:ser>
        <c:ser>
          <c:idx val="1"/>
          <c:order val="1"/>
          <c:tx>
            <c:strRef>
              <c:f>LCOH!$R$19</c:f>
              <c:strCache>
                <c:ptCount val="1"/>
                <c:pt idx="0">
                  <c:v>BoP</c:v>
                </c:pt>
              </c:strCache>
            </c:strRef>
          </c:tx>
          <c:spPr>
            <a:solidFill>
              <a:schemeClr val="accent3"/>
            </a:solidFill>
            <a:ln>
              <a:noFill/>
            </a:ln>
            <a:effectLst/>
          </c:spPr>
          <c:invertIfNegative val="0"/>
          <c:dLbls>
            <c:dLbl>
              <c:idx val="1"/>
              <c:layout>
                <c:manualLayout>
                  <c:x val="-1.4212005801546392E-3"/>
                  <c:y val="-9.975327644355916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LCOH!$S$19:$T$19</c:f>
              <c:numCache>
                <c:formatCode>"$"#,##0.00</c:formatCode>
                <c:ptCount val="2"/>
                <c:pt idx="1">
                  <c:v>0.51241733105923826</c:v>
                </c:pt>
              </c:numCache>
            </c:numRef>
          </c:val>
          <c:extLst>
            <c:ext xmlns:c16="http://schemas.microsoft.com/office/drawing/2014/chart" uri="{C3380CC4-5D6E-409C-BE32-E72D297353CC}">
              <c16:uniqueId val="{00000001-70CB-4721-BADE-C273136E5F07}"/>
            </c:ext>
          </c:extLst>
        </c:ser>
        <c:ser>
          <c:idx val="2"/>
          <c:order val="2"/>
          <c:tx>
            <c:strRef>
              <c:f>LCOH!$R$20</c:f>
              <c:strCache>
                <c:ptCount val="1"/>
                <c:pt idx="0">
                  <c:v>Fixed O&amp;M</c:v>
                </c:pt>
              </c:strCache>
            </c:strRef>
          </c:tx>
          <c:spPr>
            <a:solidFill>
              <a:schemeClr val="accent5"/>
            </a:solidFill>
            <a:ln>
              <a:noFill/>
            </a:ln>
            <a:effectLst/>
          </c:spPr>
          <c:invertIfNegative val="0"/>
          <c:dLbls>
            <c:dLbl>
              <c:idx val="1"/>
              <c:layout>
                <c:manualLayout>
                  <c:x val="-1.4212005801545755E-3"/>
                  <c:y val="-5.5407602232200669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LCOH!$S$20:$T$20</c:f>
              <c:numCache>
                <c:formatCode>"$"#,##0.00</c:formatCode>
                <c:ptCount val="2"/>
                <c:pt idx="1">
                  <c:v>0.27267778132990445</c:v>
                </c:pt>
              </c:numCache>
            </c:numRef>
          </c:val>
          <c:extLst>
            <c:ext xmlns:c16="http://schemas.microsoft.com/office/drawing/2014/chart" uri="{C3380CC4-5D6E-409C-BE32-E72D297353CC}">
              <c16:uniqueId val="{00000002-70CB-4721-BADE-C273136E5F07}"/>
            </c:ext>
          </c:extLst>
        </c:ser>
        <c:ser>
          <c:idx val="3"/>
          <c:order val="3"/>
          <c:tx>
            <c:strRef>
              <c:f>LCOH!$R$21</c:f>
              <c:strCache>
                <c:ptCount val="1"/>
                <c:pt idx="0">
                  <c:v>Stack Replacement</c:v>
                </c:pt>
              </c:strCache>
            </c:strRef>
          </c:tx>
          <c:spPr>
            <a:solidFill>
              <a:schemeClr val="accent1">
                <a:lumMod val="60000"/>
              </a:schemeClr>
            </a:solidFill>
            <a:ln>
              <a:noFill/>
            </a:ln>
            <a:effectLst/>
          </c:spPr>
          <c:invertIfNegative val="0"/>
          <c:dLbls>
            <c:dLbl>
              <c:idx val="1"/>
              <c:layout>
                <c:manualLayout>
                  <c:x val="1.4212005801546392E-3"/>
                  <c:y val="-1.7648396853486136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5F9-4692-A057-4FD61831694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LCOH!$S$21:$T$21</c:f>
              <c:numCache>
                <c:formatCode>"$"#,##0.00</c:formatCode>
                <c:ptCount val="2"/>
                <c:pt idx="1">
                  <c:v>0.14555002384763613</c:v>
                </c:pt>
              </c:numCache>
            </c:numRef>
          </c:val>
          <c:extLst>
            <c:ext xmlns:c16="http://schemas.microsoft.com/office/drawing/2014/chart" uri="{C3380CC4-5D6E-409C-BE32-E72D297353CC}">
              <c16:uniqueId val="{00000003-70CB-4721-BADE-C273136E5F07}"/>
            </c:ext>
          </c:extLst>
        </c:ser>
        <c:ser>
          <c:idx val="4"/>
          <c:order val="4"/>
          <c:tx>
            <c:strRef>
              <c:f>LCOH!$R$22</c:f>
              <c:strCache>
                <c:ptCount val="1"/>
                <c:pt idx="0">
                  <c:v>Stack</c:v>
                </c:pt>
              </c:strCache>
            </c:strRef>
          </c:tx>
          <c:spPr>
            <a:solidFill>
              <a:schemeClr val="accent3">
                <a:lumMod val="60000"/>
              </a:schemeClr>
            </a:solidFill>
            <a:ln>
              <a:noFill/>
            </a:ln>
            <a:effectLst/>
          </c:spPr>
          <c:invertIfNegative val="0"/>
          <c:dLbls>
            <c:dLbl>
              <c:idx val="1"/>
              <c:layout>
                <c:manualLayout>
                  <c:x val="-7.1788990354279963E-3"/>
                  <c:y val="5.6148255290789817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LCOH!$S$22:$T$22</c:f>
              <c:numCache>
                <c:formatCode>"$"#,##0.00</c:formatCode>
                <c:ptCount val="2"/>
                <c:pt idx="1">
                  <c:v>0.10642468429009848</c:v>
                </c:pt>
              </c:numCache>
            </c:numRef>
          </c:val>
          <c:extLst>
            <c:ext xmlns:c16="http://schemas.microsoft.com/office/drawing/2014/chart" uri="{C3380CC4-5D6E-409C-BE32-E72D297353CC}">
              <c16:uniqueId val="{00000004-70CB-4721-BADE-C273136E5F07}"/>
            </c:ext>
          </c:extLst>
        </c:ser>
        <c:ser>
          <c:idx val="5"/>
          <c:order val="5"/>
          <c:tx>
            <c:strRef>
              <c:f>LCOH!$R$23</c:f>
              <c:strCache>
                <c:ptCount val="1"/>
                <c:pt idx="0">
                  <c:v>Thermal</c:v>
                </c:pt>
              </c:strCache>
            </c:strRef>
          </c:tx>
          <c:spPr>
            <a:solidFill>
              <a:schemeClr val="accent5">
                <a:lumMod val="60000"/>
              </a:schemeClr>
            </a:solidFill>
            <a:ln>
              <a:noFill/>
            </a:ln>
            <a:effectLst/>
          </c:spPr>
          <c:invertIfNegative val="0"/>
          <c:dLbls>
            <c:dLbl>
              <c:idx val="1"/>
              <c:layout>
                <c:manualLayout>
                  <c:x val="4.5257674818838717E-2"/>
                  <c:y val="0.11529214792726604"/>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LCOH!$S$23:$T$23</c:f>
              <c:numCache>
                <c:formatCode>"$"#,##0.00</c:formatCode>
                <c:ptCount val="2"/>
                <c:pt idx="1">
                  <c:v>7.5122905915314092E-2</c:v>
                </c:pt>
              </c:numCache>
            </c:numRef>
          </c:val>
          <c:extLst>
            <c:ext xmlns:c16="http://schemas.microsoft.com/office/drawing/2014/chart" uri="{C3380CC4-5D6E-409C-BE32-E72D297353CC}">
              <c16:uniqueId val="{00000005-70CB-4721-BADE-C273136E5F07}"/>
            </c:ext>
          </c:extLst>
        </c:ser>
        <c:ser>
          <c:idx val="6"/>
          <c:order val="6"/>
          <c:tx>
            <c:strRef>
              <c:f>LCOH!$R$26</c:f>
              <c:strCache>
                <c:ptCount val="1"/>
                <c:pt idx="0">
                  <c:v>Variable O&amp;M without tax</c:v>
                </c:pt>
              </c:strCache>
            </c:strRef>
          </c:tx>
          <c:spPr>
            <a:solidFill>
              <a:schemeClr val="accent1">
                <a:lumMod val="80000"/>
                <a:lumOff val="20000"/>
              </a:schemeClr>
            </a:solidFill>
            <a:ln>
              <a:noFill/>
            </a:ln>
            <a:effectLst/>
          </c:spPr>
          <c:invertIfNegative val="0"/>
          <c:dLbls>
            <c:dLbl>
              <c:idx val="1"/>
              <c:layout>
                <c:manualLayout>
                  <c:x val="4.1025186510166657E-2"/>
                  <c:y val="-0.124393388629727"/>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0CB-4721-BADE-C273136E5F07}"/>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LCOH!$S$26:$T$26</c:f>
              <c:numCache>
                <c:formatCode>"$"#,##0.00</c:formatCode>
                <c:ptCount val="2"/>
                <c:pt idx="1">
                  <c:v>3.7477310512248563E-2</c:v>
                </c:pt>
              </c:numCache>
            </c:numRef>
          </c:val>
          <c:extLst>
            <c:ext xmlns:c16="http://schemas.microsoft.com/office/drawing/2014/chart" uri="{C3380CC4-5D6E-409C-BE32-E72D297353CC}">
              <c16:uniqueId val="{00000006-70CB-4721-BADE-C273136E5F07}"/>
            </c:ext>
          </c:extLst>
        </c:ser>
        <c:ser>
          <c:idx val="7"/>
          <c:order val="7"/>
          <c:tx>
            <c:strRef>
              <c:f>LCOH!$R$27</c:f>
              <c:strCache>
                <c:ptCount val="1"/>
                <c:pt idx="0">
                  <c:v>Revenue from Hydrogen Sales</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LCOH!$S$27:$T$27</c:f>
              <c:numCache>
                <c:formatCode>"$"#,##0.00</c:formatCode>
                <c:ptCount val="2"/>
                <c:pt idx="0">
                  <c:v>2.4999999999999982</c:v>
                </c:pt>
              </c:numCache>
            </c:numRef>
          </c:val>
          <c:extLst>
            <c:ext xmlns:c16="http://schemas.microsoft.com/office/drawing/2014/chart" uri="{C3380CC4-5D6E-409C-BE32-E72D297353CC}">
              <c16:uniqueId val="{00000007-70CB-4721-BADE-C273136E5F07}"/>
            </c:ext>
          </c:extLst>
        </c:ser>
        <c:ser>
          <c:idx val="8"/>
          <c:order val="8"/>
          <c:tx>
            <c:strRef>
              <c:f>LCOH!$R$28</c:f>
              <c:strCache>
                <c:ptCount val="1"/>
                <c:pt idx="0">
                  <c:v>Revenue from PTC (H2 only)</c:v>
                </c:pt>
              </c:strCache>
            </c:strRef>
          </c:tx>
          <c:spPr>
            <a:solidFill>
              <a:srgbClr val="C6EF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LCOH!$S$17:$T$17</c:f>
              <c:strCache>
                <c:ptCount val="2"/>
                <c:pt idx="0">
                  <c:v>H2 Revenues</c:v>
                </c:pt>
                <c:pt idx="1">
                  <c:v>LCOH without PTC</c:v>
                </c:pt>
              </c:strCache>
            </c:strRef>
          </c:cat>
          <c:val>
            <c:numRef>
              <c:f>LCOH!$S$28:$T$28</c:f>
              <c:numCache>
                <c:formatCode>General</c:formatCode>
                <c:ptCount val="2"/>
                <c:pt idx="0" formatCode="&quot;$&quot;#,##0.00">
                  <c:v>1.9047450269517556</c:v>
                </c:pt>
              </c:numCache>
            </c:numRef>
          </c:val>
          <c:extLst>
            <c:ext xmlns:c16="http://schemas.microsoft.com/office/drawing/2014/chart" uri="{C3380CC4-5D6E-409C-BE32-E72D297353CC}">
              <c16:uniqueId val="{00000008-70CB-4721-BADE-C273136E5F07}"/>
            </c:ext>
          </c:extLst>
        </c:ser>
        <c:dLbls>
          <c:dLblPos val="ctr"/>
          <c:showLegendKey val="0"/>
          <c:showVal val="1"/>
          <c:showCatName val="0"/>
          <c:showSerName val="0"/>
          <c:showPercent val="0"/>
          <c:showBubbleSize val="0"/>
        </c:dLbls>
        <c:gapWidth val="20"/>
        <c:overlap val="100"/>
        <c:axId val="1954867488"/>
        <c:axId val="1954862912"/>
      </c:barChart>
      <c:catAx>
        <c:axId val="1954867488"/>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954862912"/>
        <c:crosses val="autoZero"/>
        <c:auto val="1"/>
        <c:lblAlgn val="ctr"/>
        <c:lblOffset val="100"/>
        <c:noMultiLvlLbl val="0"/>
      </c:catAx>
      <c:valAx>
        <c:axId val="195486291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954867488"/>
        <c:crosses val="autoZero"/>
        <c:crossBetween val="between"/>
      </c:valAx>
      <c:spPr>
        <a:noFill/>
        <a:ln>
          <a:noFill/>
        </a:ln>
        <a:effectLst/>
      </c:spPr>
    </c:plotArea>
    <c:legend>
      <c:legendPos val="r"/>
      <c:layout>
        <c:manualLayout>
          <c:xMode val="edge"/>
          <c:yMode val="edge"/>
          <c:x val="0.76142884475431405"/>
          <c:y val="0"/>
          <c:w val="0.22392370477690479"/>
          <c:h val="1"/>
        </c:manualLayout>
      </c:layout>
      <c:overlay val="0"/>
      <c:spPr>
        <a:noFill/>
        <a:ln>
          <a:noFill/>
        </a:ln>
        <a:effectLst/>
      </c:spPr>
      <c:txPr>
        <a:bodyPr rot="0" spcFirstLastPara="1" vertOverflow="ellipsis" vert="horz" wrap="square" anchor="ctr" anchorCtr="1"/>
        <a:lstStyle/>
        <a:p>
          <a:pPr>
            <a:defRPr sz="1000" b="0" i="0" u="none" strike="noStrike" kern="1200" spc="-5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Correlations!$A$110</c:f>
          <c:strCache>
            <c:ptCount val="1"/>
            <c:pt idx="0">
              <c:v>(a) HTSE: Competitiveness with Respect to Electricity Price</c:v>
            </c:pt>
          </c:strCache>
        </c:strRef>
      </c:tx>
      <c:layout>
        <c:manualLayout>
          <c:xMode val="edge"/>
          <c:yMode val="edge"/>
          <c:x val="0.24094254801888815"/>
          <c:y val="1.0282395256148534E-2"/>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50003096648076"/>
        </c:manualLayout>
      </c:layout>
      <c:scatterChart>
        <c:scatterStyle val="lineMarker"/>
        <c:varyColors val="0"/>
        <c:ser>
          <c:idx val="1"/>
          <c:order val="0"/>
          <c:tx>
            <c:strRef>
              <c:f>Correlations!$C$112</c:f>
              <c:strCache>
                <c:ptCount val="1"/>
                <c:pt idx="0">
                  <c:v>NPP-HTSE, PTC=$0/kg</c:v>
                </c:pt>
              </c:strCache>
            </c:strRef>
          </c:tx>
          <c:spPr>
            <a:ln w="63500" cap="rnd" cmpd="dbl">
              <a:solidFill>
                <a:srgbClr val="0070C0"/>
              </a:solidFill>
              <a:prstDash val="solid"/>
              <a:round/>
            </a:ln>
            <a:effectLst/>
          </c:spPr>
          <c:marker>
            <c:symbol val="none"/>
          </c:marker>
          <c:xVal>
            <c:numRef>
              <c:f>Correlations!$E$110:$Z$110</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Correlations!$E$112:$Z$112</c:f>
              <c:numCache>
                <c:formatCode>"$"#,##0.00</c:formatCode>
                <c:ptCount val="22"/>
                <c:pt idx="0">
                  <c:v>1.0492303145017532</c:v>
                </c:pt>
                <c:pt idx="1">
                  <c:v>1.4580074235508118</c:v>
                </c:pt>
                <c:pt idx="2">
                  <c:v>1.8667845325998691</c:v>
                </c:pt>
                <c:pt idx="3">
                  <c:v>2.2755616416489257</c:v>
                </c:pt>
                <c:pt idx="4">
                  <c:v>2.6843387506979832</c:v>
                </c:pt>
                <c:pt idx="5">
                  <c:v>3.0931158597470394</c:v>
                </c:pt>
                <c:pt idx="6">
                  <c:v>3.5018929687960965</c:v>
                </c:pt>
                <c:pt idx="7">
                  <c:v>3.9106700778451531</c:v>
                </c:pt>
                <c:pt idx="8">
                  <c:v>4.3194471868942097</c:v>
                </c:pt>
                <c:pt idx="9">
                  <c:v>4.7282242959432654</c:v>
                </c:pt>
                <c:pt idx="10">
                  <c:v>5.1370014049923238</c:v>
                </c:pt>
                <c:pt idx="11">
                  <c:v>5.5457785140413822</c:v>
                </c:pt>
                <c:pt idx="12">
                  <c:v>5.9545556230904397</c:v>
                </c:pt>
                <c:pt idx="13">
                  <c:v>6.3633327321394946</c:v>
                </c:pt>
                <c:pt idx="14">
                  <c:v>6.7721098411885521</c:v>
                </c:pt>
                <c:pt idx="15">
                  <c:v>7.1808869502376078</c:v>
                </c:pt>
                <c:pt idx="16">
                  <c:v>7.5896640592866653</c:v>
                </c:pt>
                <c:pt idx="17">
                  <c:v>7.9984411683357202</c:v>
                </c:pt>
                <c:pt idx="18">
                  <c:v>8.4072182773847803</c:v>
                </c:pt>
                <c:pt idx="19">
                  <c:v>8.815995386433837</c:v>
                </c:pt>
                <c:pt idx="20">
                  <c:v>9.2247724954828918</c:v>
                </c:pt>
                <c:pt idx="21">
                  <c:v>9.2247724954828954</c:v>
                </c:pt>
              </c:numCache>
            </c:numRef>
          </c:yVal>
          <c:smooth val="0"/>
          <c:extLst>
            <c:ext xmlns:c16="http://schemas.microsoft.com/office/drawing/2014/chart" uri="{C3380CC4-5D6E-409C-BE32-E72D297353CC}">
              <c16:uniqueId val="{00000001-DA28-4C29-BC52-20C0337F7EC3}"/>
            </c:ext>
          </c:extLst>
        </c:ser>
        <c:ser>
          <c:idx val="2"/>
          <c:order val="1"/>
          <c:tx>
            <c:strRef>
              <c:f>Correlations!$C$113</c:f>
              <c:strCache>
                <c:ptCount val="1"/>
                <c:pt idx="0">
                  <c:v>NPP-HTSE, PTC=$3/kg</c:v>
                </c:pt>
              </c:strCache>
            </c:strRef>
          </c:tx>
          <c:spPr>
            <a:ln w="38100" cap="rnd" cmpd="dbl">
              <a:solidFill>
                <a:srgbClr val="0070C0"/>
              </a:solidFill>
              <a:prstDash val="dash"/>
              <a:round/>
            </a:ln>
            <a:effectLst/>
          </c:spPr>
          <c:marker>
            <c:symbol val="none"/>
          </c:marker>
          <c:xVal>
            <c:numRef>
              <c:f>Correlations!$E$110:$Z$110</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Correlations!$E$113:$Z$113</c:f>
              <c:numCache>
                <c:formatCode>"$"#,##0.00</c:formatCode>
                <c:ptCount val="22"/>
                <c:pt idx="0">
                  <c:v>-0.88460221267330219</c:v>
                </c:pt>
                <c:pt idx="1">
                  <c:v>-0.46192668191657593</c:v>
                </c:pt>
                <c:pt idx="2">
                  <c:v>-3.9251151159850672E-2</c:v>
                </c:pt>
                <c:pt idx="3">
                  <c:v>0.38342437959687387</c:v>
                </c:pt>
                <c:pt idx="4">
                  <c:v>0.8060999103535994</c:v>
                </c:pt>
                <c:pt idx="5">
                  <c:v>1.2287754411103236</c:v>
                </c:pt>
                <c:pt idx="6">
                  <c:v>1.6514509718670485</c:v>
                </c:pt>
                <c:pt idx="7">
                  <c:v>2.074126502623773</c:v>
                </c:pt>
                <c:pt idx="8">
                  <c:v>2.4968020333804977</c:v>
                </c:pt>
                <c:pt idx="9">
                  <c:v>2.919477564137221</c:v>
                </c:pt>
                <c:pt idx="10">
                  <c:v>3.3421530948939475</c:v>
                </c:pt>
                <c:pt idx="11">
                  <c:v>3.764828625650674</c:v>
                </c:pt>
                <c:pt idx="12">
                  <c:v>4.1875041564073996</c:v>
                </c:pt>
                <c:pt idx="13">
                  <c:v>4.6101796871641225</c:v>
                </c:pt>
                <c:pt idx="14">
                  <c:v>5.0328552179208481</c:v>
                </c:pt>
                <c:pt idx="15">
                  <c:v>5.455530748677571</c:v>
                </c:pt>
                <c:pt idx="16">
                  <c:v>5.8782062794342966</c:v>
                </c:pt>
                <c:pt idx="17">
                  <c:v>6.3008818101910196</c:v>
                </c:pt>
                <c:pt idx="18">
                  <c:v>6.7235573409477478</c:v>
                </c:pt>
                <c:pt idx="19">
                  <c:v>7.1462328717044725</c:v>
                </c:pt>
                <c:pt idx="20">
                  <c:v>7.5689084024611955</c:v>
                </c:pt>
                <c:pt idx="21">
                  <c:v>7.5689084024611972</c:v>
                </c:pt>
              </c:numCache>
            </c:numRef>
          </c:yVal>
          <c:smooth val="0"/>
          <c:extLst>
            <c:ext xmlns:c16="http://schemas.microsoft.com/office/drawing/2014/chart" uri="{C3380CC4-5D6E-409C-BE32-E72D297353CC}">
              <c16:uniqueId val="{00000002-DA28-4C29-BC52-20C0337F7EC3}"/>
            </c:ext>
          </c:extLst>
        </c:ser>
        <c:ser>
          <c:idx val="3"/>
          <c:order val="2"/>
          <c:tx>
            <c:strRef>
              <c:f>Correlations!$C$111</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Correlations!$E$110:$Z$110</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Correlations!$E$111:$Z$111</c:f>
              <c:numCache>
                <c:formatCode>"$"#,##0.00</c:formatCode>
                <c:ptCount val="22"/>
                <c:pt idx="0" formatCode="General">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numCache>
            </c:numRef>
          </c:yVal>
          <c:smooth val="0"/>
          <c:extLst>
            <c:ext xmlns:c16="http://schemas.microsoft.com/office/drawing/2014/chart" uri="{C3380CC4-5D6E-409C-BE32-E72D297353CC}">
              <c16:uniqueId val="{00000003-DA28-4C29-BC52-20C0337F7EC3}"/>
            </c:ext>
          </c:extLst>
        </c:ser>
        <c:ser>
          <c:idx val="4"/>
          <c:order val="3"/>
          <c:tx>
            <c:strRef>
              <c:f>Correlations!$A$115</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5B9BD5"/>
                    </a:solidFill>
                  </a14:hiddenFill>
                </a:ext>
              </a:extLst>
            </c:spPr>
          </c:marker>
          <c:dLbls>
            <c:dLbl>
              <c:idx val="1"/>
              <c:layout>
                <c:manualLayout>
                  <c:x val="5.4159845748210454E-3"/>
                  <c:y val="0.1083568113908918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40E-472A-961B-74BA76E121DB}"/>
                </c:ext>
              </c:extLst>
            </c:dLbl>
            <c:dLbl>
              <c:idx val="2"/>
              <c:layout>
                <c:manualLayout>
                  <c:x val="-9.360268632758538E-2"/>
                  <c:y val="-7.656623416746678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5D-4D4F-8719-10A8E1A38FDC}"/>
                </c:ext>
              </c:extLst>
            </c:dLbl>
            <c:dLbl>
              <c:idx val="3"/>
              <c:layout>
                <c:manualLayout>
                  <c:x val="-5.6407250082235469E-3"/>
                  <c:y val="3.914339292883106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F5D-4D4F-8719-10A8E1A38FDC}"/>
                </c:ext>
              </c:extLst>
            </c:dLbl>
            <c:dLbl>
              <c:idx val="4"/>
              <c:layout>
                <c:manualLayout>
                  <c:x val="2.7379855443006753E-3"/>
                  <c:y val="7.439797530380770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F5D-4D4F-8719-10A8E1A38FDC}"/>
                </c:ext>
              </c:extLst>
            </c:dLbl>
            <c:dLbl>
              <c:idx val="5"/>
              <c:layout>
                <c:manualLayout>
                  <c:x val="6.5079930527579292E-3"/>
                  <c:y val="-0.18968302152497057"/>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F5D-4D4F-8719-10A8E1A38FD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Correlations!$N$117:$N$122</c:f>
              <c:numCache>
                <c:formatCode>"$"#,##0.00</c:formatCode>
                <c:ptCount val="6"/>
                <c:pt idx="0">
                  <c:v>-32.308524622110021</c:v>
                </c:pt>
                <c:pt idx="1">
                  <c:v>-8.8889836787632994</c:v>
                </c:pt>
                <c:pt idx="2">
                  <c:v>35.490482548623838</c:v>
                </c:pt>
                <c:pt idx="3">
                  <c:v>43.597345082184745</c:v>
                </c:pt>
                <c:pt idx="4">
                  <c:v>73.398707432748111</c:v>
                </c:pt>
                <c:pt idx="5">
                  <c:v>80.075660084078621</c:v>
                </c:pt>
              </c:numCache>
            </c:numRef>
          </c:xVal>
          <c:yVal>
            <c:numRef>
              <c:f>Correlations!$M$117:$M$122</c:f>
              <c:numCache>
                <c:formatCode>"$"#,##0.00</c:formatCode>
                <c:ptCount val="6"/>
                <c:pt idx="0">
                  <c:v>-0.2714682147648888</c:v>
                </c:pt>
                <c:pt idx="1">
                  <c:v>0.68586900944284168</c:v>
                </c:pt>
                <c:pt idx="2">
                  <c:v>2.5</c:v>
                </c:pt>
                <c:pt idx="3">
                  <c:v>0.95815088454635045</c:v>
                </c:pt>
                <c:pt idx="4">
                  <c:v>2.2177815494261353</c:v>
                </c:pt>
                <c:pt idx="5">
                  <c:v>2.5</c:v>
                </c:pt>
              </c:numCache>
            </c:numRef>
          </c:yVal>
          <c:smooth val="0"/>
          <c:extLst xmlns:c15="http://schemas.microsoft.com/office/drawing/2012/chart">
            <c:ext xmlns:c16="http://schemas.microsoft.com/office/drawing/2014/chart" uri="{C3380CC4-5D6E-409C-BE32-E72D297353CC}">
              <c16:uniqueId val="{00000000-2562-4410-BD84-1EAC80101B9B}"/>
            </c:ext>
          </c:extLst>
        </c:ser>
        <c:ser>
          <c:idx val="0"/>
          <c:order val="4"/>
          <c:tx>
            <c:strRef>
              <c:f>Correlations!$C$104</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233.4244149778757</c:v>
                </c:pt>
              </c:numCache>
            </c:numRef>
          </c:xVal>
          <c:yVal>
            <c:numRef>
              <c:f>Correlations!$E$104:$Z$104</c:f>
              <c:numCache>
                <c:formatCode>"$"#,##0.00</c:formatCode>
                <c:ptCount val="22"/>
                <c:pt idx="0">
                  <c:v>0.85135117793328097</c:v>
                </c:pt>
                <c:pt idx="1">
                  <c:v>1.0375166322425209</c:v>
                </c:pt>
                <c:pt idx="2">
                  <c:v>1.2236820865517612</c:v>
                </c:pt>
                <c:pt idx="3">
                  <c:v>1.4098475408610016</c:v>
                </c:pt>
                <c:pt idx="4">
                  <c:v>1.5960129951702418</c:v>
                </c:pt>
                <c:pt idx="5">
                  <c:v>1.7821784494794815</c:v>
                </c:pt>
                <c:pt idx="6">
                  <c:v>1.9683439037887218</c:v>
                </c:pt>
                <c:pt idx="7">
                  <c:v>2.1545093580979624</c:v>
                </c:pt>
                <c:pt idx="8">
                  <c:v>2.3406748124072001</c:v>
                </c:pt>
                <c:pt idx="9">
                  <c:v>2.5268402667164409</c:v>
                </c:pt>
                <c:pt idx="10">
                  <c:v>2.7130057210256813</c:v>
                </c:pt>
                <c:pt idx="11">
                  <c:v>2.8991711753349216</c:v>
                </c:pt>
                <c:pt idx="12">
                  <c:v>3.085336629644162</c:v>
                </c:pt>
                <c:pt idx="13">
                  <c:v>3.2715020839534015</c:v>
                </c:pt>
                <c:pt idx="14">
                  <c:v>3.4576675382626427</c:v>
                </c:pt>
                <c:pt idx="15">
                  <c:v>3.643832992571884</c:v>
                </c:pt>
                <c:pt idx="16">
                  <c:v>3.8299984468811217</c:v>
                </c:pt>
                <c:pt idx="17">
                  <c:v>4.016163901190362</c:v>
                </c:pt>
                <c:pt idx="18">
                  <c:v>4.2023293554996046</c:v>
                </c:pt>
                <c:pt idx="19">
                  <c:v>4.388494809808841</c:v>
                </c:pt>
                <c:pt idx="20">
                  <c:v>4.5746602641180818</c:v>
                </c:pt>
                <c:pt idx="21">
                  <c:v>4.5746602641180827</c:v>
                </c:pt>
              </c:numCache>
            </c:numRef>
          </c:yVal>
          <c:smooth val="0"/>
          <c:extLst>
            <c:ext xmlns:c16="http://schemas.microsoft.com/office/drawing/2014/chart" uri="{C3380CC4-5D6E-409C-BE32-E72D297353CC}">
              <c16:uniqueId val="{00000001-9CCC-413E-AEAE-D8B5AE3592F2}"/>
            </c:ext>
          </c:extLst>
        </c:ser>
        <c:ser>
          <c:idx val="5"/>
          <c:order val="5"/>
          <c:tx>
            <c:strRef>
              <c:f>Correlations!$C$105</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233.4244149778757</c:v>
                </c:pt>
              </c:numCache>
            </c:numRef>
          </c:xVal>
          <c:yVal>
            <c:numRef>
              <c:f>Correlations!$E$105:$Z$105</c:f>
              <c:numCache>
                <c:formatCode>"$"#,##0.00</c:formatCode>
                <c:ptCount val="22"/>
                <c:pt idx="0">
                  <c:v>0.25190605260966992</c:v>
                </c:pt>
                <c:pt idx="1">
                  <c:v>0.41389867638190836</c:v>
                </c:pt>
                <c:pt idx="2">
                  <c:v>0.57589130015414725</c:v>
                </c:pt>
                <c:pt idx="3">
                  <c:v>0.73788392392638646</c:v>
                </c:pt>
                <c:pt idx="4">
                  <c:v>0.89987654769862413</c:v>
                </c:pt>
                <c:pt idx="5">
                  <c:v>1.0618691714708626</c:v>
                </c:pt>
                <c:pt idx="6">
                  <c:v>1.2238617952431021</c:v>
                </c:pt>
                <c:pt idx="7">
                  <c:v>1.3858544190153401</c:v>
                </c:pt>
                <c:pt idx="8">
                  <c:v>1.5478470427875788</c:v>
                </c:pt>
                <c:pt idx="9">
                  <c:v>1.7098396665598177</c:v>
                </c:pt>
                <c:pt idx="10">
                  <c:v>1.8718322903320554</c:v>
                </c:pt>
                <c:pt idx="11">
                  <c:v>2.033824914104295</c:v>
                </c:pt>
                <c:pt idx="12">
                  <c:v>2.1958175378765343</c:v>
                </c:pt>
                <c:pt idx="13">
                  <c:v>2.3578101616487737</c:v>
                </c:pt>
                <c:pt idx="14">
                  <c:v>2.5198027854210117</c:v>
                </c:pt>
                <c:pt idx="15">
                  <c:v>2.6817954091932497</c:v>
                </c:pt>
                <c:pt idx="16">
                  <c:v>2.8437880329654881</c:v>
                </c:pt>
                <c:pt idx="17">
                  <c:v>3.0057806567377279</c:v>
                </c:pt>
                <c:pt idx="18">
                  <c:v>3.1677732805099663</c:v>
                </c:pt>
                <c:pt idx="19">
                  <c:v>3.3297659042822039</c:v>
                </c:pt>
                <c:pt idx="20">
                  <c:v>3.4917585280544441</c:v>
                </c:pt>
                <c:pt idx="21">
                  <c:v>3.4917585280544441</c:v>
                </c:pt>
              </c:numCache>
            </c:numRef>
          </c:yVal>
          <c:smooth val="0"/>
          <c:extLst>
            <c:ext xmlns:c16="http://schemas.microsoft.com/office/drawing/2014/chart" uri="{C3380CC4-5D6E-409C-BE32-E72D297353CC}">
              <c16:uniqueId val="{00000002-9CCC-413E-AEAE-D8B5AE3592F2}"/>
            </c:ext>
          </c:extLst>
        </c:ser>
        <c:dLbls>
          <c:showLegendKey val="0"/>
          <c:showVal val="0"/>
          <c:showCatName val="0"/>
          <c:showSerName val="0"/>
          <c:showPercent val="0"/>
          <c:showBubbleSize val="0"/>
        </c:dLbls>
        <c:axId val="140291248"/>
        <c:axId val="140297008"/>
        <c:extLst/>
      </c:scatterChart>
      <c:valAx>
        <c:axId val="140291248"/>
        <c:scaling>
          <c:orientation val="minMax"/>
          <c:max val="2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Electricity Price, $/MWh</a:t>
                </a:r>
              </a:p>
            </c:rich>
          </c:tx>
          <c:layout>
            <c:manualLayout>
              <c:xMode val="edge"/>
              <c:yMode val="edge"/>
              <c:x val="0.66199145330848974"/>
              <c:y val="0.67932103457323112"/>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majorUnit val="20"/>
      </c:valAx>
      <c:valAx>
        <c:axId val="140297008"/>
        <c:scaling>
          <c:orientation val="minMax"/>
          <c:max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a:solidFill>
                      <a:schemeClr val="tx1"/>
                    </a:solidFill>
                  </a:rPr>
                  <a:t>Levelized Cost of Hydrogen, $/kg</a:t>
                </a:r>
              </a:p>
            </c:rich>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9406343575080577E-2"/>
          <c:y val="0.69039419766974419"/>
          <c:w val="0.86863527257018069"/>
          <c:h val="0.30960580233025581"/>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Correlations!$A$106</c:f>
          <c:strCache>
            <c:ptCount val="1"/>
            <c:pt idx="0">
              <c:v>(a) HTSE: Competitiveness with Respect to NG Price</c:v>
            </c:pt>
          </c:strCache>
        </c:strRef>
      </c:tx>
      <c:layout>
        <c:manualLayout>
          <c:xMode val="edge"/>
          <c:yMode val="edge"/>
          <c:x val="0.29315458132358296"/>
          <c:y val="7.1959755030621166E-3"/>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393812021996078"/>
        </c:manualLayout>
      </c:layout>
      <c:scatterChart>
        <c:scatterStyle val="lineMarker"/>
        <c:varyColors val="0"/>
        <c:ser>
          <c:idx val="1"/>
          <c:order val="0"/>
          <c:tx>
            <c:strRef>
              <c:f>Correlations!$C$108</c:f>
              <c:strCache>
                <c:ptCount val="1"/>
                <c:pt idx="0">
                  <c:v>NPP-HTSE, PTC=$0/kg</c:v>
                </c:pt>
              </c:strCache>
            </c:strRef>
          </c:tx>
          <c:spPr>
            <a:ln w="63500" cap="rnd" cmpd="dbl">
              <a:solidFill>
                <a:srgbClr val="0070C0"/>
              </a:solidFill>
              <a:prstDash val="solid"/>
              <a:round/>
            </a:ln>
            <a:effectLst/>
          </c:spPr>
          <c:marker>
            <c:symbol val="none"/>
          </c:marker>
          <c:xVal>
            <c:numRef>
              <c:f>Correlations!$E$106:$Z$106</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Correlations!$E$108:$Z$108</c:f>
              <c:numCache>
                <c:formatCode>"$"#,##0.00</c:formatCode>
                <c:ptCount val="22"/>
                <c:pt idx="0">
                  <c:v>2.412910750289408</c:v>
                </c:pt>
                <c:pt idx="1">
                  <c:v>2.4129107502894085</c:v>
                </c:pt>
                <c:pt idx="2">
                  <c:v>2.4129107502894085</c:v>
                </c:pt>
                <c:pt idx="3">
                  <c:v>2.4129107502894085</c:v>
                </c:pt>
                <c:pt idx="4">
                  <c:v>2.4129107502894085</c:v>
                </c:pt>
                <c:pt idx="5">
                  <c:v>2.4129107502894085</c:v>
                </c:pt>
                <c:pt idx="6">
                  <c:v>2.4129107502894085</c:v>
                </c:pt>
                <c:pt idx="7">
                  <c:v>2.4129107502894085</c:v>
                </c:pt>
                <c:pt idx="8">
                  <c:v>2.4129107502894085</c:v>
                </c:pt>
                <c:pt idx="9">
                  <c:v>2.4129107502894085</c:v>
                </c:pt>
                <c:pt idx="10">
                  <c:v>2.4129107502894085</c:v>
                </c:pt>
                <c:pt idx="11">
                  <c:v>2.4129107502894085</c:v>
                </c:pt>
                <c:pt idx="12">
                  <c:v>2.4129107502894085</c:v>
                </c:pt>
                <c:pt idx="13">
                  <c:v>2.4129107502894085</c:v>
                </c:pt>
                <c:pt idx="14">
                  <c:v>2.4129107502894085</c:v>
                </c:pt>
                <c:pt idx="15">
                  <c:v>2.4129107502894085</c:v>
                </c:pt>
                <c:pt idx="16">
                  <c:v>2.4129107502894085</c:v>
                </c:pt>
                <c:pt idx="17">
                  <c:v>2.4129107502894085</c:v>
                </c:pt>
                <c:pt idx="18">
                  <c:v>2.4129107502894085</c:v>
                </c:pt>
                <c:pt idx="19">
                  <c:v>2.4129107502894085</c:v>
                </c:pt>
                <c:pt idx="20">
                  <c:v>2.4129107502894085</c:v>
                </c:pt>
                <c:pt idx="21">
                  <c:v>2.412910750289408</c:v>
                </c:pt>
              </c:numCache>
            </c:numRef>
          </c:yVal>
          <c:smooth val="0"/>
          <c:extLst>
            <c:ext xmlns:c16="http://schemas.microsoft.com/office/drawing/2014/chart" uri="{C3380CC4-5D6E-409C-BE32-E72D297353CC}">
              <c16:uniqueId val="{00000002-A58F-4AB3-B95C-536C4CBDAC4B}"/>
            </c:ext>
          </c:extLst>
        </c:ser>
        <c:ser>
          <c:idx val="2"/>
          <c:order val="1"/>
          <c:tx>
            <c:strRef>
              <c:f>Correlations!$C$109</c:f>
              <c:strCache>
                <c:ptCount val="1"/>
                <c:pt idx="0">
                  <c:v>NPP-HTSE, PTC=$3/kg</c:v>
                </c:pt>
              </c:strCache>
            </c:strRef>
          </c:tx>
          <c:spPr>
            <a:ln w="38100" cap="rnd" cmpd="dbl">
              <a:solidFill>
                <a:srgbClr val="0070C0"/>
              </a:solidFill>
              <a:prstDash val="dash"/>
              <a:round/>
            </a:ln>
            <a:effectLst/>
          </c:spPr>
          <c:marker>
            <c:symbol val="none"/>
          </c:marker>
          <c:xVal>
            <c:numRef>
              <c:f>Correlations!$E$106:$Z$106</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Correlations!$E$109:$Z$109</c:f>
              <c:numCache>
                <c:formatCode>"$"#,##0.00</c:formatCode>
                <c:ptCount val="22"/>
                <c:pt idx="0">
                  <c:v>0.52544335793113295</c:v>
                </c:pt>
                <c:pt idx="1">
                  <c:v>0.52544335793113306</c:v>
                </c:pt>
                <c:pt idx="2">
                  <c:v>0.52544335793113306</c:v>
                </c:pt>
                <c:pt idx="3">
                  <c:v>0.52544335793113306</c:v>
                </c:pt>
                <c:pt idx="4">
                  <c:v>0.52544335793113306</c:v>
                </c:pt>
                <c:pt idx="5">
                  <c:v>0.52544335793113306</c:v>
                </c:pt>
                <c:pt idx="6">
                  <c:v>0.52544335793113306</c:v>
                </c:pt>
                <c:pt idx="7">
                  <c:v>0.52544335793113306</c:v>
                </c:pt>
                <c:pt idx="8">
                  <c:v>0.52544335793113306</c:v>
                </c:pt>
                <c:pt idx="9">
                  <c:v>0.52544335793113306</c:v>
                </c:pt>
                <c:pt idx="10">
                  <c:v>0.52544335793113306</c:v>
                </c:pt>
                <c:pt idx="11">
                  <c:v>0.52544335793113306</c:v>
                </c:pt>
                <c:pt idx="12">
                  <c:v>0.52544335793113306</c:v>
                </c:pt>
                <c:pt idx="13">
                  <c:v>0.52544335793113306</c:v>
                </c:pt>
                <c:pt idx="14">
                  <c:v>0.52544335793113306</c:v>
                </c:pt>
                <c:pt idx="15">
                  <c:v>0.52544335793113306</c:v>
                </c:pt>
                <c:pt idx="16">
                  <c:v>0.52544335793113306</c:v>
                </c:pt>
                <c:pt idx="17">
                  <c:v>0.52544335793113306</c:v>
                </c:pt>
                <c:pt idx="18">
                  <c:v>0.52544335793113306</c:v>
                </c:pt>
                <c:pt idx="19">
                  <c:v>0.52544335793113306</c:v>
                </c:pt>
                <c:pt idx="20">
                  <c:v>0.52544335793113306</c:v>
                </c:pt>
                <c:pt idx="21">
                  <c:v>0.52544335793113295</c:v>
                </c:pt>
              </c:numCache>
            </c:numRef>
          </c:yVal>
          <c:smooth val="0"/>
          <c:extLst>
            <c:ext xmlns:c16="http://schemas.microsoft.com/office/drawing/2014/chart" uri="{C3380CC4-5D6E-409C-BE32-E72D297353CC}">
              <c16:uniqueId val="{00000003-A58F-4AB3-B95C-536C4CBDAC4B}"/>
            </c:ext>
          </c:extLst>
        </c:ser>
        <c:ser>
          <c:idx val="3"/>
          <c:order val="2"/>
          <c:tx>
            <c:strRef>
              <c:f>Correlations!$C$107</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Correlations!$E$106:$Z$106</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Correlations!$E$107:$Z$107</c:f>
              <c:numCache>
                <c:formatCode>"$"#,##0.00</c:formatCode>
                <c:ptCount val="22"/>
                <c:pt idx="0" formatCode="General">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numCache>
            </c:numRef>
          </c:yVal>
          <c:smooth val="0"/>
          <c:extLst>
            <c:ext xmlns:c16="http://schemas.microsoft.com/office/drawing/2014/chart" uri="{C3380CC4-5D6E-409C-BE32-E72D297353CC}">
              <c16:uniqueId val="{00000004-A58F-4AB3-B95C-536C4CBDAC4B}"/>
            </c:ext>
          </c:extLst>
        </c:ser>
        <c:ser>
          <c:idx val="0"/>
          <c:order val="3"/>
          <c:tx>
            <c:strRef>
              <c:f>Correlations!$A$115</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4472C4"/>
                    </a:solidFill>
                  </a14:hiddenFill>
                </a:ext>
              </a:extLst>
            </c:spPr>
          </c:marker>
          <c:dPt>
            <c:idx val="1"/>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0-8A37-436E-AC20-A00EA399A27C}"/>
              </c:ext>
            </c:extLst>
          </c:dPt>
          <c:dPt>
            <c:idx val="3"/>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1-8A37-436E-AC20-A00EA399A27C}"/>
              </c:ext>
            </c:extLst>
          </c:dPt>
          <c:dLbls>
            <c:dLbl>
              <c:idx val="0"/>
              <c:layout>
                <c:manualLayout>
                  <c:x val="-1.4892822978570494E-2"/>
                  <c:y val="0.10361203050798676"/>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A37-436E-AC20-A00EA399A27C}"/>
                </c:ext>
              </c:extLst>
            </c:dLbl>
            <c:dLbl>
              <c:idx val="1"/>
              <c:layout>
                <c:manualLayout>
                  <c:x val="-1.3421093249672328E-2"/>
                  <c:y val="6.929402468695689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A37-436E-AC20-A00EA399A27C}"/>
                </c:ext>
              </c:extLst>
            </c:dLbl>
            <c:dLbl>
              <c:idx val="2"/>
              <c:layout>
                <c:manualLayout>
                  <c:x val="-4.8345128363871996E-2"/>
                  <c:y val="-7.491067086255363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A37-436E-AC20-A00EA399A27C}"/>
                </c:ext>
              </c:extLst>
            </c:dLbl>
            <c:dLbl>
              <c:idx val="3"/>
              <c:layout>
                <c:manualLayout>
                  <c:x val="-1.1169617233927844E-2"/>
                  <c:y val="-7.7709022880990103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A37-436E-AC20-A00EA399A27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Correlations!$K$117:$K$120</c:f>
              <c:numCache>
                <c:formatCode>"$"#,##0.00</c:formatCode>
                <c:ptCount val="4"/>
                <c:pt idx="0">
                  <c:v>-1.7506353217433221</c:v>
                </c:pt>
                <c:pt idx="1">
                  <c:v>1.688578769525062</c:v>
                </c:pt>
                <c:pt idx="2">
                  <c:v>8.388020098305752</c:v>
                </c:pt>
                <c:pt idx="3">
                  <c:v>13.340142577838028</c:v>
                </c:pt>
              </c:numCache>
            </c:numRef>
          </c:xVal>
          <c:yVal>
            <c:numRef>
              <c:f>Correlations!$J$117:$J$120</c:f>
              <c:numCache>
                <c:formatCode>"$"#,##0.00</c:formatCode>
                <c:ptCount val="4"/>
                <c:pt idx="0">
                  <c:v>0.52544335793113295</c:v>
                </c:pt>
                <c:pt idx="1">
                  <c:v>0.52544335793113295</c:v>
                </c:pt>
                <c:pt idx="2">
                  <c:v>2.412910750289408</c:v>
                </c:pt>
                <c:pt idx="3">
                  <c:v>2.412910750289408</c:v>
                </c:pt>
              </c:numCache>
            </c:numRef>
          </c:yVal>
          <c:smooth val="0"/>
          <c:extLst xmlns:c15="http://schemas.microsoft.com/office/drawing/2012/chart">
            <c:ext xmlns:c16="http://schemas.microsoft.com/office/drawing/2014/chart" uri="{C3380CC4-5D6E-409C-BE32-E72D297353CC}">
              <c16:uniqueId val="{00000000-D4E4-452B-B25B-22B9CAAD0022}"/>
            </c:ext>
          </c:extLst>
        </c:ser>
        <c:ser>
          <c:idx val="4"/>
          <c:order val="4"/>
          <c:tx>
            <c:strRef>
              <c:f>Correlations!$C$104</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Correlations!$E$102:$Z$102</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Correlations!$E$104:$Z$104</c:f>
              <c:numCache>
                <c:formatCode>"$"#,##0.00</c:formatCode>
                <c:ptCount val="22"/>
                <c:pt idx="0">
                  <c:v>0.85135117793328097</c:v>
                </c:pt>
                <c:pt idx="1">
                  <c:v>1.0375166322425209</c:v>
                </c:pt>
                <c:pt idx="2">
                  <c:v>1.2236820865517612</c:v>
                </c:pt>
                <c:pt idx="3">
                  <c:v>1.4098475408610016</c:v>
                </c:pt>
                <c:pt idx="4">
                  <c:v>1.5960129951702418</c:v>
                </c:pt>
                <c:pt idx="5">
                  <c:v>1.7821784494794815</c:v>
                </c:pt>
                <c:pt idx="6">
                  <c:v>1.9683439037887218</c:v>
                </c:pt>
                <c:pt idx="7">
                  <c:v>2.1545093580979624</c:v>
                </c:pt>
                <c:pt idx="8">
                  <c:v>2.3406748124072001</c:v>
                </c:pt>
                <c:pt idx="9">
                  <c:v>2.5268402667164409</c:v>
                </c:pt>
                <c:pt idx="10">
                  <c:v>2.7130057210256813</c:v>
                </c:pt>
                <c:pt idx="11">
                  <c:v>2.8991711753349216</c:v>
                </c:pt>
                <c:pt idx="12">
                  <c:v>3.085336629644162</c:v>
                </c:pt>
                <c:pt idx="13">
                  <c:v>3.2715020839534015</c:v>
                </c:pt>
                <c:pt idx="14">
                  <c:v>3.4576675382626427</c:v>
                </c:pt>
                <c:pt idx="15">
                  <c:v>3.643832992571884</c:v>
                </c:pt>
                <c:pt idx="16">
                  <c:v>3.8299984468811217</c:v>
                </c:pt>
                <c:pt idx="17">
                  <c:v>4.016163901190362</c:v>
                </c:pt>
                <c:pt idx="18">
                  <c:v>4.2023293554996046</c:v>
                </c:pt>
                <c:pt idx="19">
                  <c:v>4.388494809808841</c:v>
                </c:pt>
                <c:pt idx="20">
                  <c:v>4.5746602641180818</c:v>
                </c:pt>
                <c:pt idx="21">
                  <c:v>4.5746602641180827</c:v>
                </c:pt>
              </c:numCache>
            </c:numRef>
          </c:yVal>
          <c:smooth val="0"/>
          <c:extLst>
            <c:ext xmlns:c16="http://schemas.microsoft.com/office/drawing/2014/chart" uri="{C3380CC4-5D6E-409C-BE32-E72D297353CC}">
              <c16:uniqueId val="{00000000-14F0-4897-9F31-6BD709A56266}"/>
            </c:ext>
          </c:extLst>
        </c:ser>
        <c:ser>
          <c:idx val="5"/>
          <c:order val="5"/>
          <c:tx>
            <c:strRef>
              <c:f>Correlations!$C$105</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Correlations!$E$102:$Z$102</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Correlations!$E$105:$Z$105</c:f>
              <c:numCache>
                <c:formatCode>"$"#,##0.00</c:formatCode>
                <c:ptCount val="22"/>
                <c:pt idx="0">
                  <c:v>0.25190605260966992</c:v>
                </c:pt>
                <c:pt idx="1">
                  <c:v>0.41389867638190836</c:v>
                </c:pt>
                <c:pt idx="2">
                  <c:v>0.57589130015414725</c:v>
                </c:pt>
                <c:pt idx="3">
                  <c:v>0.73788392392638646</c:v>
                </c:pt>
                <c:pt idx="4">
                  <c:v>0.89987654769862413</c:v>
                </c:pt>
                <c:pt idx="5">
                  <c:v>1.0618691714708626</c:v>
                </c:pt>
                <c:pt idx="6">
                  <c:v>1.2238617952431021</c:v>
                </c:pt>
                <c:pt idx="7">
                  <c:v>1.3858544190153401</c:v>
                </c:pt>
                <c:pt idx="8">
                  <c:v>1.5478470427875788</c:v>
                </c:pt>
                <c:pt idx="9">
                  <c:v>1.7098396665598177</c:v>
                </c:pt>
                <c:pt idx="10">
                  <c:v>1.8718322903320554</c:v>
                </c:pt>
                <c:pt idx="11">
                  <c:v>2.033824914104295</c:v>
                </c:pt>
                <c:pt idx="12">
                  <c:v>2.1958175378765343</c:v>
                </c:pt>
                <c:pt idx="13">
                  <c:v>2.3578101616487737</c:v>
                </c:pt>
                <c:pt idx="14">
                  <c:v>2.5198027854210117</c:v>
                </c:pt>
                <c:pt idx="15">
                  <c:v>2.6817954091932497</c:v>
                </c:pt>
                <c:pt idx="16">
                  <c:v>2.8437880329654881</c:v>
                </c:pt>
                <c:pt idx="17">
                  <c:v>3.0057806567377279</c:v>
                </c:pt>
                <c:pt idx="18">
                  <c:v>3.1677732805099663</c:v>
                </c:pt>
                <c:pt idx="19">
                  <c:v>3.3297659042822039</c:v>
                </c:pt>
                <c:pt idx="20">
                  <c:v>3.4917585280544441</c:v>
                </c:pt>
                <c:pt idx="21">
                  <c:v>3.4917585280544441</c:v>
                </c:pt>
              </c:numCache>
            </c:numRef>
          </c:yVal>
          <c:smooth val="0"/>
          <c:extLst>
            <c:ext xmlns:c16="http://schemas.microsoft.com/office/drawing/2014/chart" uri="{C3380CC4-5D6E-409C-BE32-E72D297353CC}">
              <c16:uniqueId val="{00000001-14F0-4897-9F31-6BD709A56266}"/>
            </c:ext>
          </c:extLst>
        </c:ser>
        <c:dLbls>
          <c:showLegendKey val="0"/>
          <c:showVal val="0"/>
          <c:showCatName val="0"/>
          <c:showSerName val="0"/>
          <c:showPercent val="0"/>
          <c:showBubbleSize val="0"/>
        </c:dLbls>
        <c:axId val="140291248"/>
        <c:axId val="140297008"/>
        <c:extLst/>
      </c:scatterChart>
      <c:valAx>
        <c:axId val="140291248"/>
        <c:scaling>
          <c:orientation val="minMax"/>
          <c:max val="2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NG Price, $/MMBtu</a:t>
                </a:r>
              </a:p>
            </c:rich>
          </c:tx>
          <c:layout>
            <c:manualLayout>
              <c:xMode val="edge"/>
              <c:yMode val="edge"/>
              <c:x val="0.71608406110533873"/>
              <c:y val="0.68091122107145119"/>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Levelized Cost of Hydrogen, $/kg</a:t>
                </a:r>
                <a:endParaRPr lang="en-US" sz="1500" b="1">
                  <a:solidFill>
                    <a:schemeClr val="tx1"/>
                  </a:solidFill>
                </a:endParaRPr>
              </a:p>
            </c:rich>
          </c:tx>
          <c:layout>
            <c:manualLayout>
              <c:xMode val="edge"/>
              <c:yMode val="edge"/>
              <c:x val="1.101372307792237E-2"/>
              <c:y val="7.1803732866724992E-2"/>
            </c:manualLayout>
          </c:layout>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6996373230638827E-2"/>
          <c:y val="0.67800213305174706"/>
          <c:w val="0.82227451411916497"/>
          <c:h val="0.3219978870759479"/>
        </c:manualLayout>
      </c:layout>
      <c:overlay val="0"/>
      <c:spPr>
        <a:noFill/>
        <a:ln w="25400" cmpd="sng">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63834362580715"/>
          <c:y val="0.13607920009163768"/>
          <c:w val="0.71710735351492549"/>
          <c:h val="0.79232700614489837"/>
        </c:manualLayout>
      </c:layout>
      <c:barChart>
        <c:barDir val="col"/>
        <c:grouping val="clustered"/>
        <c:varyColors val="0"/>
        <c:ser>
          <c:idx val="1"/>
          <c:order val="0"/>
          <c:tx>
            <c:v> Yearly Cash Flow</c:v>
          </c:tx>
          <c:spPr>
            <a:solidFill>
              <a:srgbClr val="4472C4"/>
            </a:solidFill>
            <a:ln>
              <a:noFill/>
            </a:ln>
            <a:effectLst/>
          </c:spPr>
          <c:invertIfNegative val="1"/>
          <c:val>
            <c:numRef>
              <c:f>Proforma!$C$60:$W$60</c:f>
              <c:numCache>
                <c:formatCode>#,###.0,,\ "M"</c:formatCode>
                <c:ptCount val="21"/>
                <c:pt idx="0">
                  <c:v>-314489721.73991019</c:v>
                </c:pt>
                <c:pt idx="1">
                  <c:v>104238608.30278441</c:v>
                </c:pt>
                <c:pt idx="2">
                  <c:v>396369823.32558709</c:v>
                </c:pt>
                <c:pt idx="3">
                  <c:v>405295575.21072054</c:v>
                </c:pt>
                <c:pt idx="4">
                  <c:v>408266790.26880985</c:v>
                </c:pt>
                <c:pt idx="5">
                  <c:v>411407972.73864955</c:v>
                </c:pt>
                <c:pt idx="6">
                  <c:v>386685449.08421057</c:v>
                </c:pt>
                <c:pt idx="7">
                  <c:v>474495623.90975904</c:v>
                </c:pt>
                <c:pt idx="8">
                  <c:v>476814572.92909718</c:v>
                </c:pt>
                <c:pt idx="9">
                  <c:v>479876134.64358777</c:v>
                </c:pt>
                <c:pt idx="10">
                  <c:v>483370830.33343863</c:v>
                </c:pt>
                <c:pt idx="11">
                  <c:v>8112250.764938131</c:v>
                </c:pt>
                <c:pt idx="12">
                  <c:v>87422314.03380987</c:v>
                </c:pt>
                <c:pt idx="13">
                  <c:v>83025901.70740205</c:v>
                </c:pt>
                <c:pt idx="14">
                  <c:v>79167723.164325476</c:v>
                </c:pt>
                <c:pt idx="15">
                  <c:v>75889220.651596069</c:v>
                </c:pt>
                <c:pt idx="16">
                  <c:v>28496272.745577835</c:v>
                </c:pt>
                <c:pt idx="17">
                  <c:v>104506930.22169612</c:v>
                </c:pt>
                <c:pt idx="18">
                  <c:v>98676115.162223697</c:v>
                </c:pt>
                <c:pt idx="19">
                  <c:v>93766611.336290494</c:v>
                </c:pt>
                <c:pt idx="20">
                  <c:v>194341501.23451644</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E920-4A9E-B9D4-723A13A7F64D}"/>
            </c:ext>
          </c:extLst>
        </c:ser>
        <c:dLbls>
          <c:showLegendKey val="0"/>
          <c:showVal val="0"/>
          <c:showCatName val="0"/>
          <c:showSerName val="0"/>
          <c:showPercent val="0"/>
          <c:showBubbleSize val="0"/>
        </c:dLbls>
        <c:gapWidth val="219"/>
        <c:overlap val="-27"/>
        <c:axId val="1189180687"/>
        <c:axId val="1181841951"/>
      </c:barChart>
      <c:lineChart>
        <c:grouping val="standard"/>
        <c:varyColors val="0"/>
        <c:ser>
          <c:idx val="2"/>
          <c:order val="1"/>
          <c:tx>
            <c:v>Cumulative Cash Flow</c:v>
          </c:tx>
          <c:spPr>
            <a:ln w="28575" cap="rnd">
              <a:solidFill>
                <a:srgbClr val="92D050"/>
              </a:solidFill>
              <a:round/>
            </a:ln>
            <a:effectLst/>
          </c:spPr>
          <c:marker>
            <c:symbol val="circle"/>
            <c:size val="5"/>
            <c:spPr>
              <a:solidFill>
                <a:schemeClr val="accent6">
                  <a:lumMod val="50000"/>
                </a:schemeClr>
              </a:solidFill>
              <a:ln w="9525">
                <a:noFill/>
              </a:ln>
              <a:effectLst/>
            </c:spPr>
          </c:marker>
          <c:val>
            <c:numRef>
              <c:f>Proforma!$C$61:$W$61</c:f>
              <c:numCache>
                <c:formatCode>#,###.0,,\ "M"</c:formatCode>
                <c:ptCount val="21"/>
                <c:pt idx="0">
                  <c:v>-314489721.73991019</c:v>
                </c:pt>
                <c:pt idx="1">
                  <c:v>-210251113.43712577</c:v>
                </c:pt>
                <c:pt idx="2">
                  <c:v>186118709.88846132</c:v>
                </c:pt>
                <c:pt idx="3">
                  <c:v>591414285.09918189</c:v>
                </c:pt>
                <c:pt idx="4">
                  <c:v>999681075.36799169</c:v>
                </c:pt>
                <c:pt idx="5">
                  <c:v>1411089048.1066413</c:v>
                </c:pt>
                <c:pt idx="6">
                  <c:v>1797774497.1908519</c:v>
                </c:pt>
                <c:pt idx="7">
                  <c:v>2272270121.1006107</c:v>
                </c:pt>
                <c:pt idx="8">
                  <c:v>2749084694.0297079</c:v>
                </c:pt>
                <c:pt idx="9">
                  <c:v>3228960828.6732955</c:v>
                </c:pt>
                <c:pt idx="10">
                  <c:v>3712331659.0067339</c:v>
                </c:pt>
                <c:pt idx="11">
                  <c:v>3720443909.7716722</c:v>
                </c:pt>
                <c:pt idx="12">
                  <c:v>3807866223.8054819</c:v>
                </c:pt>
                <c:pt idx="13">
                  <c:v>3890892125.5128841</c:v>
                </c:pt>
                <c:pt idx="14">
                  <c:v>3970059848.6772099</c:v>
                </c:pt>
                <c:pt idx="15">
                  <c:v>4045949069.3288059</c:v>
                </c:pt>
                <c:pt idx="16">
                  <c:v>4074445342.0743837</c:v>
                </c:pt>
                <c:pt idx="17">
                  <c:v>4178952272.2960796</c:v>
                </c:pt>
                <c:pt idx="18">
                  <c:v>4277628387.4583035</c:v>
                </c:pt>
                <c:pt idx="19">
                  <c:v>4371394998.7945938</c:v>
                </c:pt>
                <c:pt idx="20">
                  <c:v>4565736500.02911</c:v>
                </c:pt>
              </c:numCache>
            </c:numRef>
          </c:val>
          <c:smooth val="0"/>
          <c:extLst>
            <c:ext xmlns:c16="http://schemas.microsoft.com/office/drawing/2014/chart" uri="{C3380CC4-5D6E-409C-BE32-E72D297353CC}">
              <c16:uniqueId val="{00000001-E920-4A9E-B9D4-723A13A7F64D}"/>
            </c:ext>
          </c:extLst>
        </c:ser>
        <c:dLbls>
          <c:showLegendKey val="0"/>
          <c:showVal val="0"/>
          <c:showCatName val="0"/>
          <c:showSerName val="0"/>
          <c:showPercent val="0"/>
          <c:showBubbleSize val="0"/>
        </c:dLbls>
        <c:marker val="1"/>
        <c:smooth val="0"/>
        <c:axId val="1189180687"/>
        <c:axId val="1181841951"/>
      </c:lineChart>
      <c:catAx>
        <c:axId val="118918068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Project Year</a:t>
                </a:r>
              </a:p>
            </c:rich>
          </c:tx>
          <c:layout>
            <c:manualLayout>
              <c:xMode val="edge"/>
              <c:yMode val="edge"/>
              <c:x val="0.86322759770066371"/>
              <c:y val="4.0717342063547782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841951"/>
        <c:crosses val="autoZero"/>
        <c:auto val="1"/>
        <c:lblAlgn val="ctr"/>
        <c:lblOffset val="100"/>
        <c:noMultiLvlLbl val="0"/>
      </c:catAx>
      <c:valAx>
        <c:axId val="11818419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 with PTC,</a:t>
                </a:r>
                <a:r>
                  <a:rPr lang="en-US" b="1" baseline="0"/>
                  <a:t> $</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quot;$&quot;#,###.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180687"/>
        <c:crosses val="autoZero"/>
        <c:crossBetween val="between"/>
      </c:valAx>
      <c:spPr>
        <a:noFill/>
        <a:ln>
          <a:noFill/>
        </a:ln>
        <a:effectLst/>
      </c:spPr>
    </c:plotArea>
    <c:legend>
      <c:legendPos val="r"/>
      <c:layout>
        <c:manualLayout>
          <c:xMode val="edge"/>
          <c:yMode val="edge"/>
          <c:x val="0.8410105083046111"/>
          <c:y val="0.22503427175748525"/>
          <c:w val="0.14830236708590022"/>
          <c:h val="0.673115792351947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H2 storage</a:t>
            </a:r>
            <a:r>
              <a:rPr lang="en-US" baseline="0"/>
              <a:t> CAPEX</a:t>
            </a:r>
            <a:endParaRPr lang="en-US"/>
          </a:p>
        </c:rich>
      </c:tx>
      <c:layout>
        <c:manualLayout>
          <c:xMode val="edge"/>
          <c:yMode val="edge"/>
          <c:x val="0.38317210949991393"/>
          <c:y val="2.6181205275492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Correlations!$C$19</c:f>
              <c:strCache>
                <c:ptCount val="1"/>
                <c:pt idx="0">
                  <c:v>Material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Correlations!$D$19:$L$19</c:f>
              <c:numCache>
                <c:formatCode>0.00E+00</c:formatCode>
                <c:ptCount val="9"/>
                <c:pt idx="0">
                  <c:v>95752.161863007001</c:v>
                </c:pt>
                <c:pt idx="1">
                  <c:v>110075.13807462026</c:v>
                </c:pt>
                <c:pt idx="2">
                  <c:v>145469.02916907822</c:v>
                </c:pt>
                <c:pt idx="3">
                  <c:v>192243.57850043179</c:v>
                </c:pt>
                <c:pt idx="4">
                  <c:v>254058.15716069692</c:v>
                </c:pt>
                <c:pt idx="5">
                  <c:v>335748.78143326082</c:v>
                </c:pt>
                <c:pt idx="6">
                  <c:v>586377.16335303406</c:v>
                </c:pt>
                <c:pt idx="7">
                  <c:v>774922.64076978876</c:v>
                </c:pt>
                <c:pt idx="8">
                  <c:v>1024093.5982973864</c:v>
                </c:pt>
              </c:numCache>
            </c:numRef>
          </c:yVal>
          <c:smooth val="0"/>
          <c:extLst>
            <c:ext xmlns:c16="http://schemas.microsoft.com/office/drawing/2014/chart" uri="{C3380CC4-5D6E-409C-BE32-E72D297353CC}">
              <c16:uniqueId val="{00000000-C73D-4DA4-9128-05FAC4C00289}"/>
            </c:ext>
          </c:extLst>
        </c:ser>
        <c:ser>
          <c:idx val="1"/>
          <c:order val="1"/>
          <c:tx>
            <c:strRef>
              <c:f>Correlations!$C$20</c:f>
              <c:strCache>
                <c:ptCount val="1"/>
                <c:pt idx="0">
                  <c:v>Labor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Correlations!$D$20:$L$20</c:f>
              <c:numCache>
                <c:formatCode>0.00E+00</c:formatCode>
                <c:ptCount val="9"/>
                <c:pt idx="0">
                  <c:v>275458.85200000001</c:v>
                </c:pt>
                <c:pt idx="1">
                  <c:v>361065.848</c:v>
                </c:pt>
                <c:pt idx="2">
                  <c:v>531046.40800000005</c:v>
                </c:pt>
                <c:pt idx="3">
                  <c:v>699382.39199999999</c:v>
                </c:pt>
                <c:pt idx="4">
                  <c:v>866073.8</c:v>
                </c:pt>
                <c:pt idx="5">
                  <c:v>1031120.632</c:v>
                </c:pt>
                <c:pt idx="6">
                  <c:v>1356280.568</c:v>
                </c:pt>
                <c:pt idx="7">
                  <c:v>1516393.672</c:v>
                </c:pt>
                <c:pt idx="8">
                  <c:v>1674862.2</c:v>
                </c:pt>
              </c:numCache>
            </c:numRef>
          </c:yVal>
          <c:smooth val="0"/>
          <c:extLst>
            <c:ext xmlns:c16="http://schemas.microsoft.com/office/drawing/2014/chart" uri="{C3380CC4-5D6E-409C-BE32-E72D297353CC}">
              <c16:uniqueId val="{00000001-C73D-4DA4-9128-05FAC4C00289}"/>
            </c:ext>
          </c:extLst>
        </c:ser>
        <c:ser>
          <c:idx val="2"/>
          <c:order val="2"/>
          <c:tx>
            <c:strRef>
              <c:f>Correlations!$C$21</c:f>
              <c:strCache>
                <c:ptCount val="1"/>
                <c:pt idx="0">
                  <c:v>Row</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Correlations!$D$21:$L$21</c:f>
              <c:numCache>
                <c:formatCode>0.00E+00</c:formatCode>
                <c:ptCount val="9"/>
                <c:pt idx="0">
                  <c:v>190743.59999999998</c:v>
                </c:pt>
                <c:pt idx="1">
                  <c:v>199577.79999999993</c:v>
                </c:pt>
                <c:pt idx="2">
                  <c:v>217246.19999999987</c:v>
                </c:pt>
                <c:pt idx="3">
                  <c:v>234914.59999999977</c:v>
                </c:pt>
                <c:pt idx="4">
                  <c:v>252582.99999999965</c:v>
                </c:pt>
                <c:pt idx="5">
                  <c:v>270251.3999999995</c:v>
                </c:pt>
                <c:pt idx="6">
                  <c:v>305588.19999999908</c:v>
                </c:pt>
                <c:pt idx="7">
                  <c:v>323256.59999999881</c:v>
                </c:pt>
                <c:pt idx="8">
                  <c:v>340924.9999999986</c:v>
                </c:pt>
              </c:numCache>
            </c:numRef>
          </c:yVal>
          <c:smooth val="0"/>
          <c:extLst>
            <c:ext xmlns:c16="http://schemas.microsoft.com/office/drawing/2014/chart" uri="{C3380CC4-5D6E-409C-BE32-E72D297353CC}">
              <c16:uniqueId val="{00000009-C73D-4DA4-9128-05FAC4C00289}"/>
            </c:ext>
          </c:extLst>
        </c:ser>
        <c:ser>
          <c:idx val="3"/>
          <c:order val="3"/>
          <c:tx>
            <c:strRef>
              <c:f>Correlations!$C$22</c:f>
              <c:strCache>
                <c:ptCount val="1"/>
                <c:pt idx="0">
                  <c:v>Miscellaneous Costs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Correlations!$D$22:$L$22</c:f>
              <c:numCache>
                <c:formatCode>0.00E+00</c:formatCode>
                <c:ptCount val="9"/>
                <c:pt idx="0">
                  <c:v>207923.20712931256</c:v>
                </c:pt>
                <c:pt idx="1">
                  <c:v>248165.95084760946</c:v>
                </c:pt>
                <c:pt idx="2">
                  <c:v>330691.80575255892</c:v>
                </c:pt>
                <c:pt idx="3">
                  <c:v>416820.01108515967</c:v>
                </c:pt>
                <c:pt idx="4">
                  <c:v>507904.53414945764</c:v>
                </c:pt>
                <c:pt idx="5">
                  <c:v>605734.70097030629</c:v>
                </c:pt>
                <c:pt idx="6">
                  <c:v>831850.99460062222</c:v>
                </c:pt>
                <c:pt idx="7">
                  <c:v>967391.97772482131</c:v>
                </c:pt>
                <c:pt idx="8">
                  <c:v>1124755.8953700324</c:v>
                </c:pt>
              </c:numCache>
            </c:numRef>
          </c:yVal>
          <c:smooth val="0"/>
          <c:extLst>
            <c:ext xmlns:c16="http://schemas.microsoft.com/office/drawing/2014/chart" uri="{C3380CC4-5D6E-409C-BE32-E72D297353CC}">
              <c16:uniqueId val="{0000000A-C73D-4DA4-9128-05FAC4C00289}"/>
            </c:ext>
          </c:extLst>
        </c:ser>
        <c:ser>
          <c:idx val="4"/>
          <c:order val="4"/>
          <c:tx>
            <c:strRef>
              <c:f>Correlations!$C$23</c:f>
              <c:strCache>
                <c:ptCount val="1"/>
                <c:pt idx="0">
                  <c:v>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Correlations!$D$23:$L$23</c:f>
              <c:numCache>
                <c:formatCode>0.00E+00</c:formatCode>
                <c:ptCount val="9"/>
                <c:pt idx="0">
                  <c:v>769877.8209923195</c:v>
                </c:pt>
                <c:pt idx="1">
                  <c:v>918884.73692222964</c:v>
                </c:pt>
                <c:pt idx="2">
                  <c:v>1224453.4429216371</c:v>
                </c:pt>
                <c:pt idx="3">
                  <c:v>1543360.5815855912</c:v>
                </c:pt>
                <c:pt idx="4">
                  <c:v>1880619.4913101541</c:v>
                </c:pt>
                <c:pt idx="5">
                  <c:v>2242855.5144035667</c:v>
                </c:pt>
                <c:pt idx="6">
                  <c:v>3080096.9259536555</c:v>
                </c:pt>
                <c:pt idx="7">
                  <c:v>3581964.8904946088</c:v>
                </c:pt>
                <c:pt idx="8">
                  <c:v>4164636.6936674174</c:v>
                </c:pt>
              </c:numCache>
            </c:numRef>
          </c:yVal>
          <c:smooth val="0"/>
          <c:extLst>
            <c:ext xmlns:c16="http://schemas.microsoft.com/office/drawing/2014/chart" uri="{C3380CC4-5D6E-409C-BE32-E72D297353CC}">
              <c16:uniqueId val="{0000000B-C73D-4DA4-9128-05FAC4C00289}"/>
            </c:ext>
          </c:extLst>
        </c:ser>
        <c:dLbls>
          <c:showLegendKey val="0"/>
          <c:showVal val="0"/>
          <c:showCatName val="0"/>
          <c:showSerName val="0"/>
          <c:showPercent val="0"/>
          <c:showBubbleSize val="0"/>
        </c:dLbls>
        <c:axId val="229802799"/>
        <c:axId val="228558431"/>
      </c:scatterChart>
      <c:valAx>
        <c:axId val="229802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558431"/>
        <c:crosses val="autoZero"/>
        <c:crossBetween val="midCat"/>
      </c:valAx>
      <c:valAx>
        <c:axId val="228558431"/>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8027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Correlations!$F$3:$S$3</c:f>
              <c:numCache>
                <c:formatCode>General</c:formatCode>
                <c:ptCount val="14"/>
                <c:pt idx="0">
                  <c:v>10</c:v>
                </c:pt>
                <c:pt idx="1">
                  <c:v>20</c:v>
                </c:pt>
                <c:pt idx="2">
                  <c:v>25</c:v>
                </c:pt>
                <c:pt idx="3">
                  <c:v>40</c:v>
                </c:pt>
                <c:pt idx="4">
                  <c:v>50</c:v>
                </c:pt>
                <c:pt idx="5">
                  <c:v>75</c:v>
                </c:pt>
                <c:pt idx="6">
                  <c:v>100</c:v>
                </c:pt>
                <c:pt idx="7">
                  <c:v>200</c:v>
                </c:pt>
                <c:pt idx="8">
                  <c:v>350</c:v>
                </c:pt>
                <c:pt idx="9">
                  <c:v>400</c:v>
                </c:pt>
                <c:pt idx="10">
                  <c:v>500</c:v>
                </c:pt>
                <c:pt idx="11">
                  <c:v>800</c:v>
                </c:pt>
                <c:pt idx="12">
                  <c:v>1000</c:v>
                </c:pt>
                <c:pt idx="13">
                  <c:v>1600</c:v>
                </c:pt>
              </c:numCache>
            </c:numRef>
          </c:xVal>
          <c:yVal>
            <c:numRef>
              <c:f>Correlations!$F$6:$S$6</c:f>
              <c:numCache>
                <c:formatCode>0</c:formatCode>
                <c:ptCount val="14"/>
                <c:pt idx="0">
                  <c:v>1367.6096737884759</c:v>
                </c:pt>
                <c:pt idx="1">
                  <c:v>1150.7358518231042</c:v>
                </c:pt>
                <c:pt idx="2">
                  <c:v>1098.738899832375</c:v>
                </c:pt>
                <c:pt idx="3">
                  <c:v>1008.3824076627778</c:v>
                </c:pt>
                <c:pt idx="4">
                  <c:v>972.58388382637247</c:v>
                </c:pt>
                <c:pt idx="5">
                  <c:v>916.3006025644487</c:v>
                </c:pt>
                <c:pt idx="6">
                  <c:v>881.82762578525342</c:v>
                </c:pt>
                <c:pt idx="7">
                  <c:v>812.30636964991595</c:v>
                </c:pt>
                <c:pt idx="8">
                  <c:v>766.29426335257597</c:v>
                </c:pt>
                <c:pt idx="9">
                  <c:v>756.32919936365829</c:v>
                </c:pt>
                <c:pt idx="10">
                  <c:v>740.41690491443978</c:v>
                </c:pt>
                <c:pt idx="11">
                  <c:v>709.55401273472773</c:v>
                </c:pt>
                <c:pt idx="12">
                  <c:v>695.99470531086808</c:v>
                </c:pt>
                <c:pt idx="13">
                  <c:v>669.38270298709324</c:v>
                </c:pt>
              </c:numCache>
            </c:numRef>
          </c:yVal>
          <c:smooth val="0"/>
          <c:extLst>
            <c:ext xmlns:c16="http://schemas.microsoft.com/office/drawing/2014/chart" uri="{C3380CC4-5D6E-409C-BE32-E72D297353CC}">
              <c16:uniqueId val="{00000001-532F-431B-93AC-4C414BA1E178}"/>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309699408109874"/>
          <c:y val="6.6711869349664624E-2"/>
          <c:w val="0.66018307086614181"/>
          <c:h val="0.60818522684664411"/>
        </c:manualLayout>
      </c:layout>
      <c:scatterChart>
        <c:scatterStyle val="lineMarker"/>
        <c:varyColors val="0"/>
        <c:ser>
          <c:idx val="1"/>
          <c:order val="0"/>
          <c:tx>
            <c:strRef>
              <c:f>Correlations!$C$104</c:f>
              <c:strCache>
                <c:ptCount val="1"/>
                <c:pt idx="0">
                  <c:v>LCOH: SMR with CCS (correlated with NG price)</c:v>
                </c:pt>
              </c:strCache>
            </c:strRef>
          </c:tx>
          <c:spPr>
            <a:ln w="19050" cap="rnd">
              <a:solidFill>
                <a:schemeClr val="accent2"/>
              </a:solidFill>
              <a:round/>
            </a:ln>
            <a:effectLst/>
          </c:spPr>
          <c:marker>
            <c:symbol val="square"/>
            <c:size val="7"/>
            <c:spPr>
              <a:noFill/>
              <a:ln w="9525">
                <a:solidFill>
                  <a:schemeClr val="bg1">
                    <a:lumMod val="50000"/>
                  </a:schemeClr>
                </a:solidFill>
              </a:ln>
              <a:effectLst/>
            </c:spPr>
          </c:marker>
          <c:trendline>
            <c:spPr>
              <a:ln w="19050" cap="rnd">
                <a:solidFill>
                  <a:schemeClr val="accent2"/>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Correlations!$F$104:$T$104</c:f>
              <c:numCache>
                <c:formatCode>"$"#,##0.00</c:formatCode>
                <c:ptCount val="15"/>
                <c:pt idx="0">
                  <c:v>1.0375166322425209</c:v>
                </c:pt>
                <c:pt idx="1">
                  <c:v>1.2236820865517612</c:v>
                </c:pt>
                <c:pt idx="2">
                  <c:v>1.4098475408610016</c:v>
                </c:pt>
                <c:pt idx="3">
                  <c:v>1.5960129951702418</c:v>
                </c:pt>
                <c:pt idx="4">
                  <c:v>1.7821784494794815</c:v>
                </c:pt>
                <c:pt idx="5">
                  <c:v>1.9683439037887218</c:v>
                </c:pt>
                <c:pt idx="6">
                  <c:v>2.1545093580979624</c:v>
                </c:pt>
                <c:pt idx="7">
                  <c:v>2.3406748124072001</c:v>
                </c:pt>
                <c:pt idx="8">
                  <c:v>2.5268402667164409</c:v>
                </c:pt>
                <c:pt idx="9">
                  <c:v>2.7130057210256813</c:v>
                </c:pt>
                <c:pt idx="10">
                  <c:v>2.8991711753349216</c:v>
                </c:pt>
                <c:pt idx="11">
                  <c:v>3.085336629644162</c:v>
                </c:pt>
                <c:pt idx="12">
                  <c:v>3.2715020839534015</c:v>
                </c:pt>
                <c:pt idx="13">
                  <c:v>3.4576675382626427</c:v>
                </c:pt>
                <c:pt idx="14">
                  <c:v>3.643832992571884</c:v>
                </c:pt>
              </c:numCache>
            </c:numRef>
          </c:yVal>
          <c:smooth val="0"/>
          <c:extLst>
            <c:ext xmlns:c16="http://schemas.microsoft.com/office/drawing/2014/chart" uri="{C3380CC4-5D6E-409C-BE32-E72D297353CC}">
              <c16:uniqueId val="{00000000-AFDE-4384-B090-A29E666CE75E}"/>
            </c:ext>
          </c:extLst>
        </c:ser>
        <c:ser>
          <c:idx val="3"/>
          <c:order val="1"/>
          <c:tx>
            <c:strRef>
              <c:f>Correlations!$C$105</c:f>
              <c:strCache>
                <c:ptCount val="1"/>
                <c:pt idx="0">
                  <c:v>LCOH: SMR without CCS (Correlated with NG price)</c:v>
                </c:pt>
              </c:strCache>
            </c:strRef>
          </c:tx>
          <c:spPr>
            <a:ln w="19050" cap="rnd">
              <a:solidFill>
                <a:schemeClr val="accent4"/>
              </a:solidFill>
              <a:round/>
            </a:ln>
            <a:effectLst/>
          </c:spPr>
          <c:marker>
            <c:symbol val="triangle"/>
            <c:size val="7"/>
            <c:spPr>
              <a:noFill/>
              <a:ln w="9525">
                <a:solidFill>
                  <a:srgbClr val="7030A0"/>
                </a:solidFill>
              </a:ln>
              <a:effectLst/>
            </c:spPr>
          </c:marker>
          <c:trendline>
            <c:spPr>
              <a:ln w="19050" cap="rnd">
                <a:solidFill>
                  <a:schemeClr val="accent4"/>
                </a:solidFill>
                <a:prstDash val="sysDot"/>
              </a:ln>
              <a:effectLst/>
            </c:spPr>
            <c:trendlineType val="linear"/>
            <c:dispRSqr val="1"/>
            <c:dispEq val="1"/>
            <c:trendlineLbl>
              <c:layout>
                <c:manualLayout>
                  <c:x val="0.18435595769827018"/>
                  <c:y val="9.842082239720034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Correlations!$F$105:$T$105</c:f>
              <c:numCache>
                <c:formatCode>"$"#,##0.00</c:formatCode>
                <c:ptCount val="15"/>
                <c:pt idx="0">
                  <c:v>0.41389867638190836</c:v>
                </c:pt>
                <c:pt idx="1">
                  <c:v>0.57589130015414725</c:v>
                </c:pt>
                <c:pt idx="2">
                  <c:v>0.73788392392638646</c:v>
                </c:pt>
                <c:pt idx="3">
                  <c:v>0.89987654769862413</c:v>
                </c:pt>
                <c:pt idx="4">
                  <c:v>1.0618691714708626</c:v>
                </c:pt>
                <c:pt idx="5">
                  <c:v>1.2238617952431021</c:v>
                </c:pt>
                <c:pt idx="6">
                  <c:v>1.3858544190153401</c:v>
                </c:pt>
                <c:pt idx="7">
                  <c:v>1.5478470427875788</c:v>
                </c:pt>
                <c:pt idx="8">
                  <c:v>1.7098396665598177</c:v>
                </c:pt>
                <c:pt idx="9">
                  <c:v>1.8718322903320554</c:v>
                </c:pt>
                <c:pt idx="10">
                  <c:v>2.033824914104295</c:v>
                </c:pt>
                <c:pt idx="11">
                  <c:v>2.1958175378765343</c:v>
                </c:pt>
                <c:pt idx="12">
                  <c:v>2.3578101616487737</c:v>
                </c:pt>
                <c:pt idx="13">
                  <c:v>2.5198027854210117</c:v>
                </c:pt>
                <c:pt idx="14">
                  <c:v>2.6817954091932497</c:v>
                </c:pt>
              </c:numCache>
            </c:numRef>
          </c:yVal>
          <c:smooth val="0"/>
          <c:extLst xmlns:c15="http://schemas.microsoft.com/office/drawing/2012/chart">
            <c:ext xmlns:c16="http://schemas.microsoft.com/office/drawing/2014/chart" uri="{C3380CC4-5D6E-409C-BE32-E72D297353CC}">
              <c16:uniqueId val="{00000002-DA4C-4B49-93D8-BC85BB382B43}"/>
            </c:ext>
          </c:extLst>
        </c:ser>
        <c:dLbls>
          <c:showLegendKey val="0"/>
          <c:showVal val="0"/>
          <c:showCatName val="0"/>
          <c:showSerName val="0"/>
          <c:showPercent val="0"/>
          <c:showBubbleSize val="0"/>
        </c:dLbls>
        <c:axId val="140291248"/>
        <c:axId val="140297008"/>
        <c:extLst/>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a:t>Natural Gas Price,</a:t>
                </a:r>
                <a:r>
                  <a:rPr lang="en-US" sz="1500" b="1" baseline="0"/>
                  <a:t> $/ mmbtu</a:t>
                </a:r>
                <a:endParaRPr lang="en-US" sz="1500" b="1"/>
              </a:p>
            </c:rich>
          </c:tx>
          <c:layout>
            <c:manualLayout>
              <c:xMode val="edge"/>
              <c:yMode val="edge"/>
              <c:x val="0.51542627895197313"/>
              <c:y val="0.59307524059492567"/>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majorUnit val="5"/>
      </c:valAx>
      <c:valAx>
        <c:axId val="140297008"/>
        <c:scaling>
          <c:orientation val="minMax"/>
        </c:scaling>
        <c:delete val="0"/>
        <c:axPos val="l"/>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r>
                  <a:rPr lang="en-US" sz="1500" b="1" i="0" u="none" strike="noStrike" kern="1200" baseline="0">
                    <a:solidFill>
                      <a:sysClr val="windowText" lastClr="000000">
                        <a:lumMod val="65000"/>
                        <a:lumOff val="35000"/>
                      </a:sysClr>
                    </a:solidFill>
                  </a:rPr>
                  <a:t>LCOH, $/kg</a:t>
                </a: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6.1111111111111109E-2"/>
          <c:y val="0.73507374078240217"/>
          <c:w val="0.89999995547810063"/>
          <c:h val="0.2649264056714411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885534342495126"/>
          <c:y val="7.638806867891515E-2"/>
          <c:w val="0.72488209295840589"/>
          <c:h val="0.56322794481694072"/>
        </c:manualLayout>
      </c:layout>
      <c:scatterChart>
        <c:scatterStyle val="lineMarker"/>
        <c:varyColors val="0"/>
        <c:ser>
          <c:idx val="2"/>
          <c:order val="0"/>
          <c:tx>
            <c:v>Raw data (2023)</c:v>
          </c:tx>
          <c:spPr>
            <a:ln w="25400" cap="rnd">
              <a:noFill/>
              <a:round/>
            </a:ln>
            <a:effectLst/>
          </c:spPr>
          <c:marker>
            <c:symbol val="triangle"/>
            <c:size val="5"/>
            <c:spPr>
              <a:solidFill>
                <a:srgbClr val="FFC000"/>
              </a:solidFill>
              <a:ln w="9525">
                <a:noFill/>
              </a:ln>
              <a:effectLst/>
            </c:spPr>
          </c:marker>
          <c:trendline>
            <c:spPr>
              <a:ln w="19050" cap="rnd">
                <a:solidFill>
                  <a:schemeClr val="accent3"/>
                </a:solidFill>
                <a:prstDash val="sysDot"/>
              </a:ln>
              <a:effectLst/>
            </c:spPr>
            <c:trendlineType val="linear"/>
            <c:dispRSqr val="1"/>
            <c:dispEq val="1"/>
            <c:trendlineLbl>
              <c:layout>
                <c:manualLayout>
                  <c:x val="1.1418491286060519E-3"/>
                  <c:y val="-4.651606049243844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trendline>
            <c:spPr>
              <a:ln w="19050" cap="rnd">
                <a:solidFill>
                  <a:schemeClr val="accent3"/>
                </a:solidFill>
                <a:prstDash val="sysDot"/>
              </a:ln>
              <a:effectLst/>
            </c:spPr>
            <c:trendlineType val="log"/>
            <c:dispRSqr val="1"/>
            <c:dispEq val="1"/>
            <c:trendlineLbl>
              <c:layout>
                <c:manualLayout>
                  <c:x val="0.24085405650035621"/>
                  <c:y val="0.1254052618422697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Correlations!$G$55:$AI$55</c:f>
              <c:numCache>
                <c:formatCode>"$"#,##0.00</c:formatCode>
                <c:ptCount val="29"/>
                <c:pt idx="0">
                  <c:v>83.324518632003844</c:v>
                </c:pt>
                <c:pt idx="1">
                  <c:v>81.789054529448478</c:v>
                </c:pt>
                <c:pt idx="2">
                  <c:v>75.630369432663073</c:v>
                </c:pt>
                <c:pt idx="3">
                  <c:v>71.509821852042677</c:v>
                </c:pt>
                <c:pt idx="4">
                  <c:v>68.770574365938629</c:v>
                </c:pt>
                <c:pt idx="5">
                  <c:v>66.848831853032195</c:v>
                </c:pt>
                <c:pt idx="6">
                  <c:v>65.609282392321305</c:v>
                </c:pt>
                <c:pt idx="7">
                  <c:v>64.946081325003149</c:v>
                </c:pt>
                <c:pt idx="8">
                  <c:v>64.777692095089591</c:v>
                </c:pt>
                <c:pt idx="9">
                  <c:v>64.753571660109657</c:v>
                </c:pt>
                <c:pt idx="10">
                  <c:v>64.795049663733366</c:v>
                </c:pt>
                <c:pt idx="11">
                  <c:v>65.894162165482086</c:v>
                </c:pt>
                <c:pt idx="12">
                  <c:v>66.225525555240878</c:v>
                </c:pt>
                <c:pt idx="13">
                  <c:v>66.051458520290296</c:v>
                </c:pt>
                <c:pt idx="14">
                  <c:v>66.471779875866261</c:v>
                </c:pt>
                <c:pt idx="15">
                  <c:v>67.024816512039735</c:v>
                </c:pt>
                <c:pt idx="16">
                  <c:v>67.934811018490393</c:v>
                </c:pt>
                <c:pt idx="17">
                  <c:v>68.717317646577101</c:v>
                </c:pt>
                <c:pt idx="18">
                  <c:v>69.276192458482754</c:v>
                </c:pt>
                <c:pt idx="19">
                  <c:v>69.73815901266245</c:v>
                </c:pt>
                <c:pt idx="20">
                  <c:v>69.769223157528373</c:v>
                </c:pt>
                <c:pt idx="21">
                  <c:v>69.638480095267013</c:v>
                </c:pt>
                <c:pt idx="22">
                  <c:v>69.613731826076261</c:v>
                </c:pt>
                <c:pt idx="23">
                  <c:v>69.446628973866396</c:v>
                </c:pt>
                <c:pt idx="24">
                  <c:v>69.01487694108252</c:v>
                </c:pt>
                <c:pt idx="25">
                  <c:v>68.567845334407011</c:v>
                </c:pt>
                <c:pt idx="26">
                  <c:v>68.321928815884192</c:v>
                </c:pt>
                <c:pt idx="27">
                  <c:v>67.882253788331155</c:v>
                </c:pt>
                <c:pt idx="28">
                  <c:v>67.246595534870394</c:v>
                </c:pt>
              </c:numCache>
            </c:numRef>
          </c:yVal>
          <c:smooth val="0"/>
          <c:extLst>
            <c:ext xmlns:c16="http://schemas.microsoft.com/office/drawing/2014/chart" uri="{C3380CC4-5D6E-409C-BE32-E72D297353CC}">
              <c16:uniqueId val="{00000000-48A8-4900-A03D-102129229722}"/>
            </c:ext>
          </c:extLst>
        </c:ser>
        <c:ser>
          <c:idx val="3"/>
          <c:order val="1"/>
          <c:tx>
            <c:strRef>
              <c:f>Correlations!$C$57</c:f>
              <c:strCache>
                <c:ptCount val="1"/>
                <c:pt idx="0">
                  <c:v>Correlation (AEO 2023)</c:v>
                </c:pt>
              </c:strCache>
            </c:strRef>
          </c:tx>
          <c:spPr>
            <a:ln w="19050" cap="rnd">
              <a:solidFill>
                <a:srgbClr val="0070C0"/>
              </a:solidFill>
              <a:round/>
            </a:ln>
            <a:effectLst/>
          </c:spPr>
          <c:marker>
            <c:symbol val="none"/>
          </c:marker>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Correlations!$G$57:$AI$57</c:f>
              <c:numCache>
                <c:formatCode>"$"#,##0.00</c:formatCode>
                <c:ptCount val="29"/>
                <c:pt idx="0">
                  <c:v>84.805011954217434</c:v>
                </c:pt>
                <c:pt idx="1">
                  <c:v>78.535312999774291</c:v>
                </c:pt>
                <c:pt idx="2">
                  <c:v>71.972357748952575</c:v>
                </c:pt>
                <c:pt idx="3">
                  <c:v>68.610415043752809</c:v>
                </c:pt>
                <c:pt idx="4">
                  <c:v>66.050544279136346</c:v>
                </c:pt>
                <c:pt idx="5">
                  <c:v>64.636851375926454</c:v>
                </c:pt>
                <c:pt idx="6">
                  <c:v>64.144425671158288</c:v>
                </c:pt>
                <c:pt idx="7">
                  <c:v>64.233319355673686</c:v>
                </c:pt>
                <c:pt idx="8">
                  <c:v>64.579252952890243</c:v>
                </c:pt>
                <c:pt idx="9">
                  <c:v>65.202200777307183</c:v>
                </c:pt>
                <c:pt idx="10">
                  <c:v>65.857674143752888</c:v>
                </c:pt>
                <c:pt idx="11">
                  <c:v>66.792231921015969</c:v>
                </c:pt>
                <c:pt idx="12">
                  <c:v>67.539071362696831</c:v>
                </c:pt>
                <c:pt idx="13">
                  <c:v>68.196685890483579</c:v>
                </c:pt>
                <c:pt idx="14">
                  <c:v>68.308635505682389</c:v>
                </c:pt>
                <c:pt idx="15">
                  <c:v>68.572187624561707</c:v>
                </c:pt>
                <c:pt idx="16">
                  <c:v>69.307232934435817</c:v>
                </c:pt>
                <c:pt idx="17">
                  <c:v>68.981581221855848</c:v>
                </c:pt>
                <c:pt idx="18">
                  <c:v>69.690412092327989</c:v>
                </c:pt>
                <c:pt idx="19">
                  <c:v>70.144787822215079</c:v>
                </c:pt>
                <c:pt idx="20">
                  <c:v>70.109216152864121</c:v>
                </c:pt>
                <c:pt idx="21">
                  <c:v>69.806318715640501</c:v>
                </c:pt>
                <c:pt idx="22">
                  <c:v>69.512796252796875</c:v>
                </c:pt>
                <c:pt idx="23">
                  <c:v>69.498582963563365</c:v>
                </c:pt>
                <c:pt idx="24">
                  <c:v>69.28718172740227</c:v>
                </c:pt>
                <c:pt idx="25">
                  <c:v>69.082724478573752</c:v>
                </c:pt>
                <c:pt idx="26">
                  <c:v>68.882857122564701</c:v>
                </c:pt>
                <c:pt idx="27">
                  <c:v>68.636635397965122</c:v>
                </c:pt>
                <c:pt idx="28">
                  <c:v>68.614129544642793</c:v>
                </c:pt>
              </c:numCache>
            </c:numRef>
          </c:yVal>
          <c:smooth val="0"/>
          <c:extLst>
            <c:ext xmlns:c16="http://schemas.microsoft.com/office/drawing/2014/chart" uri="{C3380CC4-5D6E-409C-BE32-E72D297353CC}">
              <c16:uniqueId val="{00000001-48A8-4900-A03D-102129229722}"/>
            </c:ext>
          </c:extLst>
        </c:ser>
        <c:ser>
          <c:idx val="0"/>
          <c:order val="2"/>
          <c:tx>
            <c:v>Extrapolation</c:v>
          </c:tx>
          <c:spPr>
            <a:ln w="25400" cap="rnd">
              <a:solidFill>
                <a:srgbClr val="FF0000"/>
              </a:solidFill>
              <a:prstDash val="dash"/>
              <a:round/>
            </a:ln>
            <a:effectLst/>
          </c:spPr>
          <c:marker>
            <c:symbol val="none"/>
          </c:marker>
          <c:xVal>
            <c:numRef>
              <c:f>Correlations!$AJ$56:$AX$56</c:f>
              <c:numCache>
                <c:formatCode>"$"#,##0.00</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Correlations!$AJ$57:$AX$57</c:f>
              <c:numCache>
                <c:formatCode>"$"#,##0.00</c:formatCode>
                <c:ptCount val="15"/>
                <c:pt idx="0">
                  <c:v>47.364262537590015</c:v>
                </c:pt>
                <c:pt idx="1">
                  <c:v>53.279072871970328</c:v>
                </c:pt>
                <c:pt idx="2">
                  <c:v>59.193883206350648</c:v>
                </c:pt>
                <c:pt idx="3">
                  <c:v>65.108693540730968</c:v>
                </c:pt>
                <c:pt idx="4">
                  <c:v>71.023503875111288</c:v>
                </c:pt>
                <c:pt idx="5">
                  <c:v>76.938314209491608</c:v>
                </c:pt>
                <c:pt idx="6">
                  <c:v>82.853124543871928</c:v>
                </c:pt>
                <c:pt idx="7">
                  <c:v>88.767934878252248</c:v>
                </c:pt>
                <c:pt idx="8">
                  <c:v>94.682745212632568</c:v>
                </c:pt>
                <c:pt idx="9">
                  <c:v>100.59755554701289</c:v>
                </c:pt>
                <c:pt idx="10">
                  <c:v>106.51236588139321</c:v>
                </c:pt>
                <c:pt idx="11">
                  <c:v>112.4271762157735</c:v>
                </c:pt>
                <c:pt idx="12">
                  <c:v>118.34198655015382</c:v>
                </c:pt>
                <c:pt idx="13">
                  <c:v>124.25679688453414</c:v>
                </c:pt>
                <c:pt idx="14">
                  <c:v>130.17160721891446</c:v>
                </c:pt>
              </c:numCache>
            </c:numRef>
          </c:yVal>
          <c:smooth val="0"/>
          <c:extLst>
            <c:ext xmlns:c16="http://schemas.microsoft.com/office/drawing/2014/chart" uri="{C3380CC4-5D6E-409C-BE32-E72D297353CC}">
              <c16:uniqueId val="{00000001-14B8-48DE-AAE8-D9C36D995016}"/>
            </c:ext>
          </c:extLst>
        </c:ser>
        <c:dLbls>
          <c:showLegendKey val="0"/>
          <c:showVal val="0"/>
          <c:showCatName val="0"/>
          <c:showSerName val="0"/>
          <c:showPercent val="0"/>
          <c:showBubbleSize val="0"/>
        </c:dLbls>
        <c:axId val="140291248"/>
        <c:axId val="140297008"/>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r>
                  <a:rPr lang="en-US" sz="1200" b="1" i="0" u="none" strike="noStrike" kern="1200" baseline="0">
                    <a:solidFill>
                      <a:sysClr val="windowText" lastClr="000000">
                        <a:lumMod val="65000"/>
                        <a:lumOff val="35000"/>
                      </a:sysClr>
                    </a:solidFill>
                  </a:rPr>
                  <a:t>Natural Gas Price, $/MMBtu</a:t>
                </a:r>
                <a:endParaRPr lang="en-US" sz="1200" b="1"/>
              </a:p>
            </c:rich>
          </c:tx>
          <c:layout>
            <c:manualLayout>
              <c:xMode val="edge"/>
              <c:yMode val="edge"/>
              <c:x val="0.58013724429529623"/>
              <c:y val="0.5596834359271011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1" i="0" u="none" strike="noStrike" kern="1200" baseline="0">
                    <a:solidFill>
                      <a:sysClr val="windowText" lastClr="000000">
                        <a:lumMod val="65000"/>
                        <a:lumOff val="35000"/>
                      </a:sysClr>
                    </a:solidFill>
                  </a:rPr>
                  <a:t>Electricity Price, $/ MWh </a:t>
                </a:r>
                <a:endParaRPr lang="en-US" sz="1200"/>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w="25400">
          <a:noFill/>
        </a:ln>
        <a:effectLst/>
      </c:spPr>
    </c:plotArea>
    <c:legend>
      <c:legendPos val="b"/>
      <c:legendEntry>
        <c:idx val="0"/>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3.1420290928697657E-2"/>
          <c:y val="0.77839208051704945"/>
          <c:w val="0.78577388154640049"/>
          <c:h val="0.22160792400949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9</xdr:col>
      <xdr:colOff>326892</xdr:colOff>
      <xdr:row>70</xdr:row>
      <xdr:rowOff>111354</xdr:rowOff>
    </xdr:from>
    <xdr:to>
      <xdr:col>25</xdr:col>
      <xdr:colOff>540252</xdr:colOff>
      <xdr:row>82</xdr:row>
      <xdr:rowOff>141834</xdr:rowOff>
    </xdr:to>
    <xdr:graphicFrame macro="">
      <xdr:nvGraphicFramePr>
        <xdr:cNvPr id="8" name="Chart 7">
          <a:extLst>
            <a:ext uri="{FF2B5EF4-FFF2-40B4-BE49-F238E27FC236}">
              <a16:creationId xmlns:a16="http://schemas.microsoft.com/office/drawing/2014/main" id="{52B5C165-58C9-43A6-BEAB-A8C59F10E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261256</xdr:colOff>
      <xdr:row>31</xdr:row>
      <xdr:rowOff>92530</xdr:rowOff>
    </xdr:from>
    <xdr:to>
      <xdr:col>25</xdr:col>
      <xdr:colOff>217713</xdr:colOff>
      <xdr:row>37</xdr:row>
      <xdr:rowOff>0</xdr:rowOff>
    </xdr:to>
    <xdr:sp macro="[0]!runSA_LCOH" textlink="">
      <xdr:nvSpPr>
        <xdr:cNvPr id="6" name="Rectangle: Rounded Corners 5">
          <a:extLst>
            <a:ext uri="{FF2B5EF4-FFF2-40B4-BE49-F238E27FC236}">
              <a16:creationId xmlns:a16="http://schemas.microsoft.com/office/drawing/2014/main" id="{00000000-0008-0000-0900-000006000000}"/>
            </a:ext>
          </a:extLst>
        </xdr:cNvPr>
        <xdr:cNvSpPr/>
      </xdr:nvSpPr>
      <xdr:spPr>
        <a:xfrm>
          <a:off x="11713027" y="7783287"/>
          <a:ext cx="1524000" cy="163285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rPr>
            <a:t>CLICK: Run Sensitivity</a:t>
          </a:r>
          <a:r>
            <a:rPr lang="en-US" sz="1600" b="1" u="sng" baseline="0">
              <a:solidFill>
                <a:schemeClr val="bg1"/>
              </a:solidFill>
            </a:rPr>
            <a:t> Analysis</a:t>
          </a:r>
          <a:r>
            <a:rPr lang="en-US" sz="1600" b="1" u="sng">
              <a:solidFill>
                <a:schemeClr val="bg1"/>
              </a:solidFill>
            </a:rPr>
            <a:t> for LCOH and NPV</a:t>
          </a:r>
        </a:p>
      </xdr:txBody>
    </xdr:sp>
    <xdr:clientData/>
  </xdr:twoCellAnchor>
  <xdr:twoCellAnchor>
    <xdr:from>
      <xdr:col>1</xdr:col>
      <xdr:colOff>56357</xdr:colOff>
      <xdr:row>70</xdr:row>
      <xdr:rowOff>62778</xdr:rowOff>
    </xdr:from>
    <xdr:to>
      <xdr:col>9</xdr:col>
      <xdr:colOff>234043</xdr:colOff>
      <xdr:row>73</xdr:row>
      <xdr:rowOff>108857</xdr:rowOff>
    </xdr:to>
    <xdr:sp macro="[0]!run_NPV_LMP" textlink="">
      <xdr:nvSpPr>
        <xdr:cNvPr id="11" name="Rectangle: Rounded Corners 10">
          <a:extLst>
            <a:ext uri="{FF2B5EF4-FFF2-40B4-BE49-F238E27FC236}">
              <a16:creationId xmlns:a16="http://schemas.microsoft.com/office/drawing/2014/main" id="{00000000-0008-0000-0900-00000B000000}"/>
            </a:ext>
          </a:extLst>
        </xdr:cNvPr>
        <xdr:cNvSpPr/>
      </xdr:nvSpPr>
      <xdr:spPr>
        <a:xfrm>
          <a:off x="257743" y="16244392"/>
          <a:ext cx="4314257" cy="42163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Preference Analysis</a:t>
          </a:r>
          <a:endParaRPr lang="en-US" sz="2000" b="1" u="sng">
            <a:solidFill>
              <a:schemeClr val="bg1"/>
            </a:solidFill>
          </a:endParaRPr>
        </a:p>
      </xdr:txBody>
    </xdr:sp>
    <xdr:clientData/>
  </xdr:twoCellAnchor>
  <xdr:twoCellAnchor>
    <xdr:from>
      <xdr:col>1</xdr:col>
      <xdr:colOff>1400</xdr:colOff>
      <xdr:row>38</xdr:row>
      <xdr:rowOff>26670</xdr:rowOff>
    </xdr:from>
    <xdr:to>
      <xdr:col>13</xdr:col>
      <xdr:colOff>230000</xdr:colOff>
      <xdr:row>44</xdr:row>
      <xdr:rowOff>586740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274589</xdr:colOff>
      <xdr:row>38</xdr:row>
      <xdr:rowOff>30479</xdr:rowOff>
    </xdr:from>
    <xdr:to>
      <xdr:col>25</xdr:col>
      <xdr:colOff>514619</xdr:colOff>
      <xdr:row>44</xdr:row>
      <xdr:rowOff>579119</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256134</xdr:colOff>
      <xdr:row>10</xdr:row>
      <xdr:rowOff>40164</xdr:rowOff>
    </xdr:from>
    <xdr:to>
      <xdr:col>26</xdr:col>
      <xdr:colOff>0</xdr:colOff>
      <xdr:row>16</xdr:row>
      <xdr:rowOff>361997</xdr:rowOff>
    </xdr:to>
    <xdr:graphicFrame macro="">
      <xdr:nvGraphicFramePr>
        <xdr:cNvPr id="4" name="Chart 3">
          <a:extLst>
            <a:ext uri="{FF2B5EF4-FFF2-40B4-BE49-F238E27FC236}">
              <a16:creationId xmlns:a16="http://schemas.microsoft.com/office/drawing/2014/main" id="{E647BB32-D68F-409A-AF02-FACC2791D5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157238</xdr:colOff>
      <xdr:row>5</xdr:row>
      <xdr:rowOff>181429</xdr:rowOff>
    </xdr:from>
    <xdr:to>
      <xdr:col>25</xdr:col>
      <xdr:colOff>514048</xdr:colOff>
      <xdr:row>8</xdr:row>
      <xdr:rowOff>6048</xdr:rowOff>
    </xdr:to>
    <xdr:sp macro="[0]!Input_Click_T" textlink="">
      <xdr:nvSpPr>
        <xdr:cNvPr id="5" name="Rectangle 4">
          <a:extLst>
            <a:ext uri="{FF2B5EF4-FFF2-40B4-BE49-F238E27FC236}">
              <a16:creationId xmlns:a16="http://schemas.microsoft.com/office/drawing/2014/main" id="{E3BE51FC-96A9-6B6E-B95A-92ADC1F8F6FE}"/>
            </a:ext>
          </a:extLst>
        </xdr:cNvPr>
        <xdr:cNvSpPr/>
      </xdr:nvSpPr>
      <xdr:spPr>
        <a:xfrm>
          <a:off x="12421809" y="1161143"/>
          <a:ext cx="2080382" cy="1094619"/>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t>CLICK:</a:t>
          </a:r>
          <a:r>
            <a:rPr lang="en-US" sz="2000" b="1" u="sng" baseline="0"/>
            <a:t> </a:t>
          </a:r>
          <a:r>
            <a:rPr lang="en-US" sz="2000" b="1" u="sng"/>
            <a:t>Additional Inputs Information</a:t>
          </a:r>
        </a:p>
      </xdr:txBody>
    </xdr:sp>
    <xdr:clientData/>
  </xdr:twoCellAnchor>
  <xdr:twoCellAnchor>
    <xdr:from>
      <xdr:col>13</xdr:col>
      <xdr:colOff>291740</xdr:colOff>
      <xdr:row>87</xdr:row>
      <xdr:rowOff>22857</xdr:rowOff>
    </xdr:from>
    <xdr:to>
      <xdr:col>25</xdr:col>
      <xdr:colOff>487683</xdr:colOff>
      <xdr:row>106</xdr:row>
      <xdr:rowOff>96762</xdr:rowOff>
    </xdr:to>
    <xdr:graphicFrame macro="">
      <xdr:nvGraphicFramePr>
        <xdr:cNvPr id="7" name="Chart 6">
          <a:extLst>
            <a:ext uri="{FF2B5EF4-FFF2-40B4-BE49-F238E27FC236}">
              <a16:creationId xmlns:a16="http://schemas.microsoft.com/office/drawing/2014/main" id="{D1B26660-A2C8-4DEA-8E57-2863D9E32D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40279</xdr:colOff>
      <xdr:row>84</xdr:row>
      <xdr:rowOff>218684</xdr:rowOff>
    </xdr:from>
    <xdr:to>
      <xdr:col>8</xdr:col>
      <xdr:colOff>441476</xdr:colOff>
      <xdr:row>86</xdr:row>
      <xdr:rowOff>131717</xdr:rowOff>
    </xdr:to>
    <xdr:sp macro="[0]!LCOH_SMR_HTSE" textlink="">
      <xdr:nvSpPr>
        <xdr:cNvPr id="13" name="Rectangle: Rounded Corners 12">
          <a:extLst>
            <a:ext uri="{FF2B5EF4-FFF2-40B4-BE49-F238E27FC236}">
              <a16:creationId xmlns:a16="http://schemas.microsoft.com/office/drawing/2014/main" id="{1EB20530-0C26-4DC5-8AF9-2F22B1BF802E}"/>
            </a:ext>
          </a:extLst>
        </xdr:cNvPr>
        <xdr:cNvSpPr/>
      </xdr:nvSpPr>
      <xdr:spPr>
        <a:xfrm>
          <a:off x="239850" y="23338732"/>
          <a:ext cx="4422864" cy="372652"/>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Competitive Analysis </a:t>
          </a:r>
          <a:endParaRPr lang="en-US" sz="2000" b="1" u="sng">
            <a:solidFill>
              <a:schemeClr val="bg1"/>
            </a:solidFill>
          </a:endParaRPr>
        </a:p>
      </xdr:txBody>
    </xdr:sp>
    <xdr:clientData/>
  </xdr:twoCellAnchor>
  <xdr:twoCellAnchor>
    <xdr:from>
      <xdr:col>17</xdr:col>
      <xdr:colOff>335338</xdr:colOff>
      <xdr:row>47</xdr:row>
      <xdr:rowOff>124582</xdr:rowOff>
    </xdr:from>
    <xdr:to>
      <xdr:col>24</xdr:col>
      <xdr:colOff>487679</xdr:colOff>
      <xdr:row>49</xdr:row>
      <xdr:rowOff>132141</xdr:rowOff>
    </xdr:to>
    <xdr:sp macro="[0]!run_SA_two_variable" textlink="">
      <xdr:nvSpPr>
        <xdr:cNvPr id="2" name="Rectangle 1">
          <a:extLst>
            <a:ext uri="{FF2B5EF4-FFF2-40B4-BE49-F238E27FC236}">
              <a16:creationId xmlns:a16="http://schemas.microsoft.com/office/drawing/2014/main" id="{B09EE0EE-3E6F-C95C-F635-85C0096AC383}"/>
            </a:ext>
          </a:extLst>
        </xdr:cNvPr>
        <xdr:cNvSpPr/>
      </xdr:nvSpPr>
      <xdr:spPr>
        <a:xfrm>
          <a:off x="8854498" y="13291942"/>
          <a:ext cx="3672781" cy="388559"/>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000" b="1" u="sng">
              <a:solidFill>
                <a:schemeClr val="lt1"/>
              </a:solidFill>
              <a:latin typeface="+mn-lt"/>
              <a:ea typeface="+mn-ea"/>
              <a:cs typeface="+mn-cs"/>
            </a:rPr>
            <a:t>CLICK: Update</a:t>
          </a:r>
          <a:r>
            <a:rPr lang="en-US" sz="2000" b="1" u="sng" baseline="0">
              <a:solidFill>
                <a:schemeClr val="lt1"/>
              </a:solidFill>
              <a:latin typeface="+mn-lt"/>
              <a:ea typeface="+mn-ea"/>
              <a:cs typeface="+mn-cs"/>
            </a:rPr>
            <a:t> Heat Maps </a:t>
          </a:r>
          <a:endParaRPr lang="en-US" sz="2000" b="1" u="sng">
            <a:solidFill>
              <a:schemeClr val="lt1"/>
            </a:solidFill>
            <a:latin typeface="+mn-lt"/>
            <a:ea typeface="+mn-ea"/>
            <a:cs typeface="+mn-cs"/>
          </a:endParaRPr>
        </a:p>
      </xdr:txBody>
    </xdr:sp>
    <xdr:clientData/>
  </xdr:twoCellAnchor>
  <xdr:twoCellAnchor>
    <xdr:from>
      <xdr:col>1</xdr:col>
      <xdr:colOff>5444</xdr:colOff>
      <xdr:row>29</xdr:row>
      <xdr:rowOff>0</xdr:rowOff>
    </xdr:from>
    <xdr:to>
      <xdr:col>9</xdr:col>
      <xdr:colOff>224118</xdr:colOff>
      <xdr:row>30</xdr:row>
      <xdr:rowOff>5443</xdr:rowOff>
    </xdr:to>
    <xdr:sp macro="[0]!Input_Click_Add_SA" textlink="">
      <xdr:nvSpPr>
        <xdr:cNvPr id="3" name="Rectangle 2">
          <a:extLst>
            <a:ext uri="{FF2B5EF4-FFF2-40B4-BE49-F238E27FC236}">
              <a16:creationId xmlns:a16="http://schemas.microsoft.com/office/drawing/2014/main" id="{34588107-093C-405C-AF2D-5E426AE2B71E}"/>
            </a:ext>
          </a:extLst>
        </xdr:cNvPr>
        <xdr:cNvSpPr/>
      </xdr:nvSpPr>
      <xdr:spPr>
        <a:xfrm>
          <a:off x="1298923" y="8977513"/>
          <a:ext cx="4841901" cy="34482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u="sng"/>
            <a:t>CLICK:</a:t>
          </a:r>
          <a:r>
            <a:rPr lang="en-US" sz="1600" b="1" u="sng" baseline="0"/>
            <a:t> </a:t>
          </a:r>
          <a:r>
            <a:rPr lang="en-US" sz="1600" b="1" u="sng"/>
            <a:t>Additional  Information for Sensitivity Analysis</a:t>
          </a:r>
        </a:p>
      </xdr:txBody>
    </xdr:sp>
    <xdr:clientData/>
  </xdr:twoCellAnchor>
  <xdr:twoCellAnchor>
    <xdr:from>
      <xdr:col>0</xdr:col>
      <xdr:colOff>1235849</xdr:colOff>
      <xdr:row>107</xdr:row>
      <xdr:rowOff>2781</xdr:rowOff>
    </xdr:from>
    <xdr:to>
      <xdr:col>12</xdr:col>
      <xdr:colOff>405311</xdr:colOff>
      <xdr:row>109</xdr:row>
      <xdr:rowOff>37856</xdr:rowOff>
    </xdr:to>
    <xdr:sp macro="[0]!Input_Click_Correlations_T" textlink="">
      <xdr:nvSpPr>
        <xdr:cNvPr id="9" name="Rectangle 8">
          <a:extLst>
            <a:ext uri="{FF2B5EF4-FFF2-40B4-BE49-F238E27FC236}">
              <a16:creationId xmlns:a16="http://schemas.microsoft.com/office/drawing/2014/main" id="{9FA129CF-D363-4DF2-B545-441ED4C1B7BE}"/>
            </a:ext>
          </a:extLst>
        </xdr:cNvPr>
        <xdr:cNvSpPr/>
      </xdr:nvSpPr>
      <xdr:spPr>
        <a:xfrm>
          <a:off x="1235849" y="30303487"/>
          <a:ext cx="6687008" cy="41927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u="sng"/>
            <a:t>CLICK:</a:t>
          </a:r>
          <a:r>
            <a:rPr lang="en-US" sz="2000" b="1" u="sng" baseline="0"/>
            <a:t> </a:t>
          </a:r>
          <a:r>
            <a:rPr lang="en-US" sz="2000" b="1" u="sng"/>
            <a:t>Additional  Information for Competitive Analysis </a:t>
          </a:r>
        </a:p>
      </xdr:txBody>
    </xdr:sp>
    <xdr:clientData/>
  </xdr:twoCellAnchor>
  <xdr:twoCellAnchor>
    <xdr:from>
      <xdr:col>1</xdr:col>
      <xdr:colOff>8309</xdr:colOff>
      <xdr:row>10</xdr:row>
      <xdr:rowOff>55693</xdr:rowOff>
    </xdr:from>
    <xdr:to>
      <xdr:col>4</xdr:col>
      <xdr:colOff>25614</xdr:colOff>
      <xdr:row>10</xdr:row>
      <xdr:rowOff>387186</xdr:rowOff>
    </xdr:to>
    <xdr:sp macro="[0]!Input_Click_LCOH_T" textlink="">
      <xdr:nvSpPr>
        <xdr:cNvPr id="10" name="Rectangle 9">
          <a:extLst>
            <a:ext uri="{FF2B5EF4-FFF2-40B4-BE49-F238E27FC236}">
              <a16:creationId xmlns:a16="http://schemas.microsoft.com/office/drawing/2014/main" id="{EB076017-E2C7-4F26-99BF-2F01A322586E}"/>
            </a:ext>
          </a:extLst>
        </xdr:cNvPr>
        <xdr:cNvSpPr/>
      </xdr:nvSpPr>
      <xdr:spPr>
        <a:xfrm>
          <a:off x="1301788" y="2706685"/>
          <a:ext cx="1727002" cy="33149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700" b="1" u="sng"/>
            <a:t>CLICK:</a:t>
          </a:r>
          <a:r>
            <a:rPr lang="en-US" sz="1700" b="1" u="sng" baseline="0"/>
            <a:t> </a:t>
          </a:r>
          <a:r>
            <a:rPr lang="en-US" sz="1700" b="1" u="sng"/>
            <a:t>LCOH Cal.</a:t>
          </a:r>
        </a:p>
      </xdr:txBody>
    </xdr:sp>
    <xdr:clientData/>
  </xdr:twoCellAnchor>
  <xdr:twoCellAnchor>
    <xdr:from>
      <xdr:col>5</xdr:col>
      <xdr:colOff>55860</xdr:colOff>
      <xdr:row>10</xdr:row>
      <xdr:rowOff>48924</xdr:rowOff>
    </xdr:from>
    <xdr:to>
      <xdr:col>8</xdr:col>
      <xdr:colOff>6403</xdr:colOff>
      <xdr:row>10</xdr:row>
      <xdr:rowOff>397511</xdr:rowOff>
    </xdr:to>
    <xdr:sp macro="[0]!Input_Click_NPV_T" textlink="">
      <xdr:nvSpPr>
        <xdr:cNvPr id="14" name="Rectangle 13">
          <a:extLst>
            <a:ext uri="{FF2B5EF4-FFF2-40B4-BE49-F238E27FC236}">
              <a16:creationId xmlns:a16="http://schemas.microsoft.com/office/drawing/2014/main" id="{78292CA4-ADF9-4DEF-9BD1-85DAD318E039}"/>
            </a:ext>
          </a:extLst>
        </xdr:cNvPr>
        <xdr:cNvSpPr/>
      </xdr:nvSpPr>
      <xdr:spPr>
        <a:xfrm>
          <a:off x="3628935" y="2699916"/>
          <a:ext cx="1724275" cy="348587"/>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700" b="1" u="sng"/>
            <a:t>CLICK:</a:t>
          </a:r>
          <a:r>
            <a:rPr lang="en-US" sz="1700" b="1" u="sng" baseline="0"/>
            <a:t> NPV</a:t>
          </a:r>
          <a:r>
            <a:rPr lang="en-US" sz="1700" b="1" u="sng"/>
            <a:t> Cal.</a:t>
          </a:r>
        </a:p>
      </xdr:txBody>
    </xdr:sp>
    <xdr:clientData/>
  </xdr:twoCellAnchor>
  <xdr:twoCellAnchor>
    <xdr:from>
      <xdr:col>1</xdr:col>
      <xdr:colOff>38100</xdr:colOff>
      <xdr:row>81</xdr:row>
      <xdr:rowOff>103415</xdr:rowOff>
    </xdr:from>
    <xdr:to>
      <xdr:col>9</xdr:col>
      <xdr:colOff>179614</xdr:colOff>
      <xdr:row>81</xdr:row>
      <xdr:rowOff>555173</xdr:rowOff>
    </xdr:to>
    <xdr:sp macro="[0]!Input_Click_Preference_Analysis_T" textlink="">
      <xdr:nvSpPr>
        <xdr:cNvPr id="15" name="Rectangle 14">
          <a:extLst>
            <a:ext uri="{FF2B5EF4-FFF2-40B4-BE49-F238E27FC236}">
              <a16:creationId xmlns:a16="http://schemas.microsoft.com/office/drawing/2014/main" id="{746B9270-6530-4ECD-874B-21BAB2C83ADD}"/>
            </a:ext>
          </a:extLst>
        </xdr:cNvPr>
        <xdr:cNvSpPr/>
      </xdr:nvSpPr>
      <xdr:spPr>
        <a:xfrm>
          <a:off x="239486" y="22348372"/>
          <a:ext cx="4506685" cy="451758"/>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u="sng"/>
            <a:t>CLICK:</a:t>
          </a:r>
          <a:r>
            <a:rPr lang="en-US" sz="2000" b="1" u="sng" baseline="0"/>
            <a:t> </a:t>
          </a:r>
          <a:r>
            <a:rPr lang="en-US" sz="2000" b="1" u="sng"/>
            <a:t>Details for Preference Analysis</a:t>
          </a:r>
        </a:p>
      </xdr:txBody>
    </xdr:sp>
    <xdr:clientData/>
  </xdr:twoCellAnchor>
  <xdr:twoCellAnchor>
    <xdr:from>
      <xdr:col>1</xdr:col>
      <xdr:colOff>19211</xdr:colOff>
      <xdr:row>87</xdr:row>
      <xdr:rowOff>27214</xdr:rowOff>
    </xdr:from>
    <xdr:to>
      <xdr:col>13</xdr:col>
      <xdr:colOff>152402</xdr:colOff>
      <xdr:row>106</xdr:row>
      <xdr:rowOff>90714</xdr:rowOff>
    </xdr:to>
    <xdr:graphicFrame macro="[0]!Chart16_Click">
      <xdr:nvGraphicFramePr>
        <xdr:cNvPr id="17" name="Chart 16">
          <a:extLst>
            <a:ext uri="{FF2B5EF4-FFF2-40B4-BE49-F238E27FC236}">
              <a16:creationId xmlns:a16="http://schemas.microsoft.com/office/drawing/2014/main" id="{F52D168E-BD5D-4DBE-B2FB-AA1963D1D0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256134</xdr:colOff>
      <xdr:row>17</xdr:row>
      <xdr:rowOff>8</xdr:rowOff>
    </xdr:from>
    <xdr:to>
      <xdr:col>25</xdr:col>
      <xdr:colOff>566897</xdr:colOff>
      <xdr:row>28</xdr:row>
      <xdr:rowOff>0</xdr:rowOff>
    </xdr:to>
    <xdr:graphicFrame macro="">
      <xdr:nvGraphicFramePr>
        <xdr:cNvPr id="16" name="Chart 15">
          <a:extLst>
            <a:ext uri="{FF2B5EF4-FFF2-40B4-BE49-F238E27FC236}">
              <a16:creationId xmlns:a16="http://schemas.microsoft.com/office/drawing/2014/main" id="{8444B0D7-495A-4B8D-A430-91A34D10F6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12806</xdr:colOff>
      <xdr:row>13</xdr:row>
      <xdr:rowOff>34900</xdr:rowOff>
    </xdr:from>
    <xdr:to>
      <xdr:col>3</xdr:col>
      <xdr:colOff>557092</xdr:colOff>
      <xdr:row>13</xdr:row>
      <xdr:rowOff>473850</xdr:rowOff>
    </xdr:to>
    <xdr:sp macro="[0]!run_breakeven_H2_only_no_PTC" textlink="">
      <xdr:nvSpPr>
        <xdr:cNvPr id="12" name="Rectangle: Rounded Corners 11">
          <a:extLst>
            <a:ext uri="{FF2B5EF4-FFF2-40B4-BE49-F238E27FC236}">
              <a16:creationId xmlns:a16="http://schemas.microsoft.com/office/drawing/2014/main" id="{FDA6E518-51E3-4DEC-B30F-81AECF990B97}"/>
            </a:ext>
          </a:extLst>
        </xdr:cNvPr>
        <xdr:cNvSpPr/>
      </xdr:nvSpPr>
      <xdr:spPr>
        <a:xfrm>
          <a:off x="1261461" y="3691219"/>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5</xdr:col>
      <xdr:colOff>25614</xdr:colOff>
      <xdr:row>13</xdr:row>
      <xdr:rowOff>38421</xdr:rowOff>
    </xdr:from>
    <xdr:to>
      <xdr:col>8</xdr:col>
      <xdr:colOff>2</xdr:colOff>
      <xdr:row>13</xdr:row>
      <xdr:rowOff>477371</xdr:rowOff>
    </xdr:to>
    <xdr:sp macro="[0]!run_breakeven_H2_only_with_PTC" textlink="">
      <xdr:nvSpPr>
        <xdr:cNvPr id="18" name="Rectangle: Rounded Corners 17">
          <a:extLst>
            <a:ext uri="{FF2B5EF4-FFF2-40B4-BE49-F238E27FC236}">
              <a16:creationId xmlns:a16="http://schemas.microsoft.com/office/drawing/2014/main" id="{E2B28ED1-13DA-42F1-AD44-76DB13081C1E}"/>
            </a:ext>
          </a:extLst>
        </xdr:cNvPr>
        <xdr:cNvSpPr/>
      </xdr:nvSpPr>
      <xdr:spPr>
        <a:xfrm>
          <a:off x="3553866" y="3694740"/>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70758</xdr:colOff>
      <xdr:row>0</xdr:row>
      <xdr:rowOff>136071</xdr:rowOff>
    </xdr:from>
    <xdr:to>
      <xdr:col>6</xdr:col>
      <xdr:colOff>1480457</xdr:colOff>
      <xdr:row>0</xdr:row>
      <xdr:rowOff>435428</xdr:rowOff>
    </xdr:to>
    <xdr:sp macro="[0]!RectangleRounded_data_validation_Input_default" textlink="">
      <xdr:nvSpPr>
        <xdr:cNvPr id="2" name="Rectangle: Rounded Corners 1">
          <a:extLst>
            <a:ext uri="{FF2B5EF4-FFF2-40B4-BE49-F238E27FC236}">
              <a16:creationId xmlns:a16="http://schemas.microsoft.com/office/drawing/2014/main" id="{00000000-0008-0000-0400-000002000000}"/>
            </a:ext>
          </a:extLst>
        </xdr:cNvPr>
        <xdr:cNvSpPr/>
      </xdr:nvSpPr>
      <xdr:spPr>
        <a:xfrm>
          <a:off x="5154387" y="136071"/>
          <a:ext cx="1409699" cy="299357"/>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1</xdr:col>
      <xdr:colOff>76200</xdr:colOff>
      <xdr:row>0</xdr:row>
      <xdr:rowOff>174171</xdr:rowOff>
    </xdr:from>
    <xdr:to>
      <xdr:col>1</xdr:col>
      <xdr:colOff>2890156</xdr:colOff>
      <xdr:row>0</xdr:row>
      <xdr:rowOff>506186</xdr:rowOff>
    </xdr:to>
    <xdr:sp macro="[0]!Input_Click_Input_Default_F" textlink="">
      <xdr:nvSpPr>
        <xdr:cNvPr id="3" name="Rectangle 2">
          <a:extLst>
            <a:ext uri="{FF2B5EF4-FFF2-40B4-BE49-F238E27FC236}">
              <a16:creationId xmlns:a16="http://schemas.microsoft.com/office/drawing/2014/main" id="{1D0F37F7-6A96-403F-A87C-0D79975209FF}"/>
            </a:ext>
          </a:extLst>
        </xdr:cNvPr>
        <xdr:cNvSpPr/>
      </xdr:nvSpPr>
      <xdr:spPr>
        <a:xfrm>
          <a:off x="255814" y="174171"/>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Inputs (Add)</a:t>
          </a:r>
          <a:endParaRPr lang="en-US"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70758</xdr:colOff>
      <xdr:row>1</xdr:row>
      <xdr:rowOff>217714</xdr:rowOff>
    </xdr:from>
    <xdr:to>
      <xdr:col>9</xdr:col>
      <xdr:colOff>1491344</xdr:colOff>
      <xdr:row>1</xdr:row>
      <xdr:rowOff>478971</xdr:rowOff>
    </xdr:to>
    <xdr:sp macro="[0]!RectangleRounded_data_validation_inpu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2736287" y="375557"/>
          <a:ext cx="1420586" cy="261257"/>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1</xdr:col>
      <xdr:colOff>54430</xdr:colOff>
      <xdr:row>1</xdr:row>
      <xdr:rowOff>174171</xdr:rowOff>
    </xdr:from>
    <xdr:to>
      <xdr:col>1</xdr:col>
      <xdr:colOff>2950029</xdr:colOff>
      <xdr:row>1</xdr:row>
      <xdr:rowOff>506186</xdr:rowOff>
    </xdr:to>
    <xdr:sp macro="[0]!Input_Click_F" textlink="">
      <xdr:nvSpPr>
        <xdr:cNvPr id="3" name="Rectangle 2">
          <a:extLst>
            <a:ext uri="{FF2B5EF4-FFF2-40B4-BE49-F238E27FC236}">
              <a16:creationId xmlns:a16="http://schemas.microsoft.com/office/drawing/2014/main" id="{4CFEBCD9-C394-4C25-95AD-36FE9539095E}"/>
            </a:ext>
          </a:extLst>
        </xdr:cNvPr>
        <xdr:cNvSpPr/>
      </xdr:nvSpPr>
      <xdr:spPr>
        <a:xfrm>
          <a:off x="342901" y="332014"/>
          <a:ext cx="2895599" cy="33201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twoCellAnchor>
    <xdr:from>
      <xdr:col>4</xdr:col>
      <xdr:colOff>65314</xdr:colOff>
      <xdr:row>1</xdr:row>
      <xdr:rowOff>168729</xdr:rowOff>
    </xdr:from>
    <xdr:to>
      <xdr:col>6</xdr:col>
      <xdr:colOff>854529</xdr:colOff>
      <xdr:row>1</xdr:row>
      <xdr:rowOff>506186</xdr:rowOff>
    </xdr:to>
    <xdr:sp macro="[0]!RectangleRoundedCorners3_Click" textlink="">
      <xdr:nvSpPr>
        <xdr:cNvPr id="4" name="Rectangle: Rounded Corners 3">
          <a:extLst>
            <a:ext uri="{FF2B5EF4-FFF2-40B4-BE49-F238E27FC236}">
              <a16:creationId xmlns:a16="http://schemas.microsoft.com/office/drawing/2014/main" id="{5A35A825-AF3B-D010-4C20-B4025A6D817B}"/>
            </a:ext>
          </a:extLst>
        </xdr:cNvPr>
        <xdr:cNvSpPr/>
      </xdr:nvSpPr>
      <xdr:spPr>
        <a:xfrm>
          <a:off x="6134100" y="326572"/>
          <a:ext cx="3521529" cy="337457"/>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600">
              <a:solidFill>
                <a:schemeClr val="lt1"/>
              </a:solidFill>
              <a:latin typeface="+mn-lt"/>
              <a:ea typeface="+mn-ea"/>
              <a:cs typeface="+mn-cs"/>
            </a:rPr>
            <a:t>CLICK:</a:t>
          </a:r>
          <a:r>
            <a:rPr lang="en-US" sz="1600" baseline="0">
              <a:solidFill>
                <a:schemeClr val="lt1"/>
              </a:solidFill>
              <a:latin typeface="+mn-lt"/>
              <a:ea typeface="+mn-ea"/>
              <a:cs typeface="+mn-cs"/>
            </a:rPr>
            <a:t> Clear All User-defined Inputs </a:t>
          </a:r>
          <a:endParaRPr lang="en-US" sz="1600">
            <a:solidFill>
              <a:schemeClr val="lt1"/>
            </a:solidFill>
            <a:latin typeface="+mn-lt"/>
            <a:ea typeface="+mn-ea"/>
            <a:cs typeface="+mn-cs"/>
          </a:endParaRPr>
        </a:p>
      </xdr:txBody>
    </xdr:sp>
    <xdr:clientData/>
  </xdr:twoCellAnchor>
  <xdr:twoCellAnchor>
    <xdr:from>
      <xdr:col>1</xdr:col>
      <xdr:colOff>3062149</xdr:colOff>
      <xdr:row>1</xdr:row>
      <xdr:rowOff>175262</xdr:rowOff>
    </xdr:from>
    <xdr:to>
      <xdr:col>3</xdr:col>
      <xdr:colOff>996041</xdr:colOff>
      <xdr:row>1</xdr:row>
      <xdr:rowOff>506186</xdr:rowOff>
    </xdr:to>
    <xdr:sp macro="[0]!Input_Click_Input_Default_T" textlink="">
      <xdr:nvSpPr>
        <xdr:cNvPr id="6" name="Rectangle 5">
          <a:extLst>
            <a:ext uri="{FF2B5EF4-FFF2-40B4-BE49-F238E27FC236}">
              <a16:creationId xmlns:a16="http://schemas.microsoft.com/office/drawing/2014/main" id="{BA657D09-70C7-4EBF-B3A7-99843E7B1349}"/>
            </a:ext>
          </a:extLst>
        </xdr:cNvPr>
        <xdr:cNvSpPr/>
      </xdr:nvSpPr>
      <xdr:spPr>
        <a:xfrm>
          <a:off x="3350620" y="333105"/>
          <a:ext cx="2533107" cy="330924"/>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Default Values (Ref)</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67491</xdr:colOff>
      <xdr:row>0</xdr:row>
      <xdr:rowOff>250373</xdr:rowOff>
    </xdr:from>
    <xdr:to>
      <xdr:col>5</xdr:col>
      <xdr:colOff>250371</xdr:colOff>
      <xdr:row>0</xdr:row>
      <xdr:rowOff>544286</xdr:rowOff>
    </xdr:to>
    <xdr:sp macro="[0]!Input_Click_NPV_F" textlink="">
      <xdr:nvSpPr>
        <xdr:cNvPr id="2" name="Rectangle 1">
          <a:extLst>
            <a:ext uri="{FF2B5EF4-FFF2-40B4-BE49-F238E27FC236}">
              <a16:creationId xmlns:a16="http://schemas.microsoft.com/office/drawing/2014/main" id="{F2CA571F-9894-4F43-93D4-C2814DD4A946}"/>
            </a:ext>
          </a:extLst>
        </xdr:cNvPr>
        <xdr:cNvSpPr/>
      </xdr:nvSpPr>
      <xdr:spPr>
        <a:xfrm>
          <a:off x="236220" y="250373"/>
          <a:ext cx="2479765" cy="29391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CLICK:</a:t>
          </a:r>
          <a:r>
            <a:rPr lang="en-US" sz="1400" baseline="0"/>
            <a:t> </a:t>
          </a:r>
          <a:r>
            <a:rPr lang="en-US" sz="1400"/>
            <a:t>Go</a:t>
          </a:r>
          <a:r>
            <a:rPr lang="en-US" sz="1400" baseline="0"/>
            <a:t> back to Dashboard</a:t>
          </a:r>
          <a:endParaRPr lang="en-US" sz="1400"/>
        </a:p>
      </xdr:txBody>
    </xdr:sp>
    <xdr:clientData/>
  </xdr:twoCellAnchor>
  <xdr:twoCellAnchor>
    <xdr:from>
      <xdr:col>9</xdr:col>
      <xdr:colOff>54429</xdr:colOff>
      <xdr:row>0</xdr:row>
      <xdr:rowOff>32658</xdr:rowOff>
    </xdr:from>
    <xdr:to>
      <xdr:col>10</xdr:col>
      <xdr:colOff>522515</xdr:colOff>
      <xdr:row>0</xdr:row>
      <xdr:rowOff>555171</xdr:rowOff>
    </xdr:to>
    <xdr:sp macro="[0]!Input_Click_Depreciation_T" textlink="">
      <xdr:nvSpPr>
        <xdr:cNvPr id="3" name="Rectangle 2">
          <a:extLst>
            <a:ext uri="{FF2B5EF4-FFF2-40B4-BE49-F238E27FC236}">
              <a16:creationId xmlns:a16="http://schemas.microsoft.com/office/drawing/2014/main" id="{17DBDAAD-6381-4184-BA01-7E7A772080B9}"/>
            </a:ext>
          </a:extLst>
        </xdr:cNvPr>
        <xdr:cNvSpPr/>
      </xdr:nvSpPr>
      <xdr:spPr>
        <a:xfrm>
          <a:off x="8501743" y="32658"/>
          <a:ext cx="1649186" cy="52251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Depreciation Table</a:t>
          </a:r>
        </a:p>
      </xdr:txBody>
    </xdr:sp>
    <xdr:clientData/>
  </xdr:twoCellAnchor>
  <xdr:twoCellAnchor>
    <xdr:from>
      <xdr:col>5</xdr:col>
      <xdr:colOff>609600</xdr:colOff>
      <xdr:row>0</xdr:row>
      <xdr:rowOff>21771</xdr:rowOff>
    </xdr:from>
    <xdr:to>
      <xdr:col>7</xdr:col>
      <xdr:colOff>544286</xdr:colOff>
      <xdr:row>0</xdr:row>
      <xdr:rowOff>576942</xdr:rowOff>
    </xdr:to>
    <xdr:sp macro="[0]!Input_Click_Debt_Principal_Costs_T" textlink="">
      <xdr:nvSpPr>
        <xdr:cNvPr id="4" name="Rectangle 3">
          <a:extLst>
            <a:ext uri="{FF2B5EF4-FFF2-40B4-BE49-F238E27FC236}">
              <a16:creationId xmlns:a16="http://schemas.microsoft.com/office/drawing/2014/main" id="{C5073A72-BA02-4BAB-A90C-B513D179D799}"/>
            </a:ext>
          </a:extLst>
        </xdr:cNvPr>
        <xdr:cNvSpPr/>
      </xdr:nvSpPr>
      <xdr:spPr>
        <a:xfrm>
          <a:off x="3075214" y="21771"/>
          <a:ext cx="2155372" cy="55517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t>CLICK:</a:t>
          </a:r>
          <a:r>
            <a:rPr lang="en-US" sz="1200" b="1" u="sng" baseline="0"/>
            <a:t> </a:t>
          </a:r>
          <a:r>
            <a:rPr lang="en-US" sz="1200" b="1" u="sng"/>
            <a:t>Tables for</a:t>
          </a:r>
          <a:r>
            <a:rPr lang="en-US" sz="1200" b="1" u="sng" baseline="0"/>
            <a:t> Principal payment and debt interest</a:t>
          </a:r>
          <a:endParaRPr lang="en-US" sz="1200" b="1" u="sng"/>
        </a:p>
      </xdr:txBody>
    </xdr:sp>
    <xdr:clientData/>
  </xdr:twoCellAnchor>
  <xdr:twoCellAnchor>
    <xdr:from>
      <xdr:col>7</xdr:col>
      <xdr:colOff>604157</xdr:colOff>
      <xdr:row>0</xdr:row>
      <xdr:rowOff>1</xdr:rowOff>
    </xdr:from>
    <xdr:to>
      <xdr:col>9</xdr:col>
      <xdr:colOff>10886</xdr:colOff>
      <xdr:row>0</xdr:row>
      <xdr:rowOff>538843</xdr:rowOff>
    </xdr:to>
    <xdr:sp macro="[0]!Input_Click_replacement_T" textlink="">
      <xdr:nvSpPr>
        <xdr:cNvPr id="5" name="Rectangle 4">
          <a:extLst>
            <a:ext uri="{FF2B5EF4-FFF2-40B4-BE49-F238E27FC236}">
              <a16:creationId xmlns:a16="http://schemas.microsoft.com/office/drawing/2014/main" id="{738D0C7F-D67F-4F85-9115-082D7B5BC9A7}"/>
            </a:ext>
          </a:extLst>
        </xdr:cNvPr>
        <xdr:cNvSpPr/>
      </xdr:nvSpPr>
      <xdr:spPr>
        <a:xfrm>
          <a:off x="6830786" y="1"/>
          <a:ext cx="1627414" cy="538842"/>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Replacement Cost Table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97972</xdr:colOff>
      <xdr:row>0</xdr:row>
      <xdr:rowOff>130628</xdr:rowOff>
    </xdr:from>
    <xdr:to>
      <xdr:col>1</xdr:col>
      <xdr:colOff>2911928</xdr:colOff>
      <xdr:row>0</xdr:row>
      <xdr:rowOff>462643</xdr:rowOff>
    </xdr:to>
    <xdr:sp macro="[0]!Input_Click_LCOH_F" textlink="">
      <xdr:nvSpPr>
        <xdr:cNvPr id="2" name="Rectangle 1">
          <a:extLst>
            <a:ext uri="{FF2B5EF4-FFF2-40B4-BE49-F238E27FC236}">
              <a16:creationId xmlns:a16="http://schemas.microsoft.com/office/drawing/2014/main" id="{B5D554E1-8281-4FBF-A2D0-71C66DB40978}"/>
            </a:ext>
          </a:extLst>
        </xdr:cNvPr>
        <xdr:cNvSpPr/>
      </xdr:nvSpPr>
      <xdr:spPr>
        <a:xfrm>
          <a:off x="500743" y="130628"/>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16328</xdr:colOff>
      <xdr:row>0</xdr:row>
      <xdr:rowOff>65314</xdr:rowOff>
    </xdr:from>
    <xdr:to>
      <xdr:col>8</xdr:col>
      <xdr:colOff>538842</xdr:colOff>
      <xdr:row>1</xdr:row>
      <xdr:rowOff>103414</xdr:rowOff>
    </xdr:to>
    <xdr:sp macro="[0]!Input_Click_replacement_F" textlink="">
      <xdr:nvSpPr>
        <xdr:cNvPr id="2" name="Rectangle 1">
          <a:extLst>
            <a:ext uri="{FF2B5EF4-FFF2-40B4-BE49-F238E27FC236}">
              <a16:creationId xmlns:a16="http://schemas.microsoft.com/office/drawing/2014/main" id="{82935998-A4AE-4A57-8AA2-D406712A0EA1}"/>
            </a:ext>
          </a:extLst>
        </xdr:cNvPr>
        <xdr:cNvSpPr/>
      </xdr:nvSpPr>
      <xdr:spPr>
        <a:xfrm>
          <a:off x="2911928" y="65314"/>
          <a:ext cx="3548743" cy="31024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Cash Flow Analysis </a:t>
          </a:r>
          <a:endParaRPr lang="en-US" sz="16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157843</xdr:colOff>
      <xdr:row>0</xdr:row>
      <xdr:rowOff>87086</xdr:rowOff>
    </xdr:from>
    <xdr:to>
      <xdr:col>5</xdr:col>
      <xdr:colOff>642257</xdr:colOff>
      <xdr:row>1</xdr:row>
      <xdr:rowOff>146958</xdr:rowOff>
    </xdr:to>
    <xdr:sp macro="[0]!Input_Click_Depreciation_F" textlink="">
      <xdr:nvSpPr>
        <xdr:cNvPr id="2" name="Rectangle 1">
          <a:extLst>
            <a:ext uri="{FF2B5EF4-FFF2-40B4-BE49-F238E27FC236}">
              <a16:creationId xmlns:a16="http://schemas.microsoft.com/office/drawing/2014/main" id="{76A8C250-D61D-4209-B291-2BEC48D35329}"/>
            </a:ext>
          </a:extLst>
        </xdr:cNvPr>
        <xdr:cNvSpPr/>
      </xdr:nvSpPr>
      <xdr:spPr>
        <a:xfrm>
          <a:off x="3918857" y="87086"/>
          <a:ext cx="3238500"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348343</xdr:colOff>
      <xdr:row>0</xdr:row>
      <xdr:rowOff>32658</xdr:rowOff>
    </xdr:from>
    <xdr:to>
      <xdr:col>5</xdr:col>
      <xdr:colOff>664029</xdr:colOff>
      <xdr:row>1</xdr:row>
      <xdr:rowOff>92530</xdr:rowOff>
    </xdr:to>
    <xdr:sp macro="[0]!Input_Click_Debt_Principal_Costs_F" textlink="">
      <xdr:nvSpPr>
        <xdr:cNvPr id="2" name="Rectangle 1">
          <a:extLst>
            <a:ext uri="{FF2B5EF4-FFF2-40B4-BE49-F238E27FC236}">
              <a16:creationId xmlns:a16="http://schemas.microsoft.com/office/drawing/2014/main" id="{EB97E024-8B1C-47F5-906C-0AA576BE0D18}"/>
            </a:ext>
          </a:extLst>
        </xdr:cNvPr>
        <xdr:cNvSpPr/>
      </xdr:nvSpPr>
      <xdr:spPr>
        <a:xfrm>
          <a:off x="3276600" y="32658"/>
          <a:ext cx="3243943"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97972</xdr:colOff>
      <xdr:row>0</xdr:row>
      <xdr:rowOff>136071</xdr:rowOff>
    </xdr:from>
    <xdr:to>
      <xdr:col>5</xdr:col>
      <xdr:colOff>348342</xdr:colOff>
      <xdr:row>0</xdr:row>
      <xdr:rowOff>468086</xdr:rowOff>
    </xdr:to>
    <xdr:sp macro="[0]!Input_Click_Add_SA_F" textlink="">
      <xdr:nvSpPr>
        <xdr:cNvPr id="2" name="Rectangle 1">
          <a:extLst>
            <a:ext uri="{FF2B5EF4-FFF2-40B4-BE49-F238E27FC236}">
              <a16:creationId xmlns:a16="http://schemas.microsoft.com/office/drawing/2014/main" id="{216ED54A-124E-4B31-B77D-158DFDE6DAD5}"/>
            </a:ext>
          </a:extLst>
        </xdr:cNvPr>
        <xdr:cNvSpPr/>
      </xdr:nvSpPr>
      <xdr:spPr>
        <a:xfrm>
          <a:off x="2715986" y="136071"/>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32656</xdr:colOff>
      <xdr:row>0</xdr:row>
      <xdr:rowOff>136072</xdr:rowOff>
    </xdr:from>
    <xdr:to>
      <xdr:col>8</xdr:col>
      <xdr:colOff>756555</xdr:colOff>
      <xdr:row>3</xdr:row>
      <xdr:rowOff>283029</xdr:rowOff>
    </xdr:to>
    <xdr:sp macro="[0]!Input_Click_Preference_Analysis_F" textlink="">
      <xdr:nvSpPr>
        <xdr:cNvPr id="2" name="Rectangle 1">
          <a:extLst>
            <a:ext uri="{FF2B5EF4-FFF2-40B4-BE49-F238E27FC236}">
              <a16:creationId xmlns:a16="http://schemas.microsoft.com/office/drawing/2014/main" id="{0ABC29CD-54CA-49E9-95D7-12DC302775D7}"/>
            </a:ext>
          </a:extLst>
        </xdr:cNvPr>
        <xdr:cNvSpPr/>
      </xdr:nvSpPr>
      <xdr:spPr>
        <a:xfrm>
          <a:off x="6030685" y="136072"/>
          <a:ext cx="2237013" cy="70212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28</xdr:col>
      <xdr:colOff>880939</xdr:colOff>
      <xdr:row>10</xdr:row>
      <xdr:rowOff>18439</xdr:rowOff>
    </xdr:from>
    <xdr:to>
      <xdr:col>34</xdr:col>
      <xdr:colOff>1202068</xdr:colOff>
      <xdr:row>46</xdr:row>
      <xdr:rowOff>38100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217715</xdr:colOff>
      <xdr:row>0</xdr:row>
      <xdr:rowOff>0</xdr:rowOff>
    </xdr:from>
    <xdr:to>
      <xdr:col>27</xdr:col>
      <xdr:colOff>642257</xdr:colOff>
      <xdr:row>13</xdr:row>
      <xdr:rowOff>152399</xdr:rowOff>
    </xdr:to>
    <xdr:graphicFrame macro="">
      <xdr:nvGraphicFramePr>
        <xdr:cNvPr id="6" name="Chart 5">
          <a:extLst>
            <a:ext uri="{FF2B5EF4-FFF2-40B4-BE49-F238E27FC236}">
              <a16:creationId xmlns:a16="http://schemas.microsoft.com/office/drawing/2014/main" id="{B40CA989-E904-464E-B83E-C91B41F2E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47900</xdr:colOff>
      <xdr:row>62</xdr:row>
      <xdr:rowOff>27213</xdr:rowOff>
    </xdr:from>
    <xdr:to>
      <xdr:col>9</xdr:col>
      <xdr:colOff>519252</xdr:colOff>
      <xdr:row>79</xdr:row>
      <xdr:rowOff>81642</xdr:rowOff>
    </xdr:to>
    <xdr:graphicFrame macro="">
      <xdr:nvGraphicFramePr>
        <xdr:cNvPr id="7" name="Chart 6">
          <a:extLst>
            <a:ext uri="{FF2B5EF4-FFF2-40B4-BE49-F238E27FC236}">
              <a16:creationId xmlns:a16="http://schemas.microsoft.com/office/drawing/2014/main" id="{BA2C174F-48CB-4C8A-B277-92E42BC985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76198</xdr:colOff>
      <xdr:row>97</xdr:row>
      <xdr:rowOff>117293</xdr:rowOff>
    </xdr:from>
    <xdr:to>
      <xdr:col>2</xdr:col>
      <xdr:colOff>1101632</xdr:colOff>
      <xdr:row>99</xdr:row>
      <xdr:rowOff>79192</xdr:rowOff>
    </xdr:to>
    <xdr:sp macro="[0]!Input_Click_Correlations_F" textlink="">
      <xdr:nvSpPr>
        <xdr:cNvPr id="8" name="Rectangle 7">
          <a:extLst>
            <a:ext uri="{FF2B5EF4-FFF2-40B4-BE49-F238E27FC236}">
              <a16:creationId xmlns:a16="http://schemas.microsoft.com/office/drawing/2014/main" id="{78953A27-4572-44A7-B8D1-4EB4D306BD8D}"/>
            </a:ext>
          </a:extLst>
        </xdr:cNvPr>
        <xdr:cNvSpPr/>
      </xdr:nvSpPr>
      <xdr:spPr>
        <a:xfrm>
          <a:off x="76198" y="13509443"/>
          <a:ext cx="5197384" cy="323849"/>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twoCellAnchor>
    <xdr:from>
      <xdr:col>0</xdr:col>
      <xdr:colOff>146958</xdr:colOff>
      <xdr:row>62</xdr:row>
      <xdr:rowOff>38099</xdr:rowOff>
    </xdr:from>
    <xdr:to>
      <xdr:col>4</xdr:col>
      <xdr:colOff>2</xdr:colOff>
      <xdr:row>79</xdr:row>
      <xdr:rowOff>92527</xdr:rowOff>
    </xdr:to>
    <xdr:graphicFrame macro="">
      <xdr:nvGraphicFramePr>
        <xdr:cNvPr id="13" name="Chart 12">
          <a:extLst>
            <a:ext uri="{FF2B5EF4-FFF2-40B4-BE49-F238E27FC236}">
              <a16:creationId xmlns:a16="http://schemas.microsoft.com/office/drawing/2014/main" id="{C50C2BCF-0AAB-497C-A88D-D1D1C253E5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Wen-Chi Cheng" id="{1A121D12-39C0-4E05-99C3-B0D371F776EC}" userId="S::WenChi.Cheng@inl.gov::38114d4a-9139-4cf6-bd99-5080a9d4630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3-10-19T20:02:56.83" personId="{1A121D12-39C0-4E05-99C3-B0D371F776EC}" id="{C2D72E19-1CD8-4E21-BAA3-E684A9B5C2D6}">
    <text>Note that 500 MW-dc is equivalent to 538 MW-ac</text>
  </threadedComment>
  <threadedComment ref="AD11" dT="2023-10-18T23:37:08.72" personId="{1A121D12-39C0-4E05-99C3-B0D371F776EC}" id="{957AF3C8-BDB9-4C09-BB60-FB240F30A68D}">
    <text xml:space="preserve">Note that the equations here do not incorporate the inflation rates and the user may want to set the inflation rate be zero by clicking "Additional Inputs Information" and put '0" in Cell "E44". </text>
  </threadedComment>
  <threadedComment ref="AB15" dT="2023-10-18T23:38:24.93" personId="{1A121D12-39C0-4E05-99C3-B0D371F776EC}" id="{6A7783D1-8050-40DB-BBEA-E00CA7A5C6CF}">
    <text>The user may need to click "CLICK: LCOH Breakdowns" to see the detailed calculations in real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E6" dT="2024-01-24T00:45:11.60" personId="{1A121D12-39C0-4E05-99C3-B0D371F776EC}" id="{577DE63F-0F9D-4AF1-8D7C-442CD0FC891C}">
    <text>This is obtained from the cumulative energy availability at 2022. https://www.world-nuclear.org/reactor/default.aspx/TURKEY%20POINT-3</text>
    <extLst>
      <x:ext xmlns:xltc2="http://schemas.microsoft.com/office/spreadsheetml/2020/threadedcomments2" uri="{F7C98A9C-CBB3-438F-8F68-D28B6AF4A901}">
        <xltc2:checksum>3067532658</xltc2:checksum>
        <xltc2:hyperlink startIndex="66" length="67" url="https://www.world-nuclear.org/reactor/default.aspx/TURKEY%20POINT-3"/>
      </x:ext>
    </extLst>
  </threadedComment>
  <threadedComment ref="E77" dT="2024-01-24T17:38:28.14" personId="{1A121D12-39C0-4E05-99C3-B0D371F776EC}" id="{45AC3F73-8606-4E61-BAD5-A6DC63C9F7F4}">
    <text>Use the inflation rate at 2023 from https://www.usinflationcalculator.com/inflation/current-inflation-rates/#:~:text=The%20annual%20inflation%20rate%20for,13%20at%208%3A30%20a.m.</text>
    <extLst>
      <x:ext xmlns:xltc2="http://schemas.microsoft.com/office/spreadsheetml/2020/threadedcomments2" uri="{F7C98A9C-CBB3-438F-8F68-D28B6AF4A901}">
        <xltc2:checksum>2812547313</xltc2:checksum>
        <xltc2:hyperlink startIndex="36" length="141" url="https://www.usinflationcalculator.com/inflation/current-inflation-rates/#:~:text=The%20annual%20inflation%20rate%20for,13%20at%208%3A30%20a.m"/>
      </x:ext>
    </extLst>
  </threadedComment>
</ThreadedComments>
</file>

<file path=xl/threadedComments/threadedComment3.xml><?xml version="1.0" encoding="utf-8"?>
<ThreadedComments xmlns="http://schemas.microsoft.com/office/spreadsheetml/2018/threadedcomments" xmlns:x="http://schemas.openxmlformats.org/spreadsheetml/2006/main">
  <threadedComment ref="S3" dT="2023-02-16T21:35:44.15" personId="{1A121D12-39C0-4E05-99C3-B0D371F776EC}" id="{64CF14B6-0C06-4DAE-973E-60EDD4E57D87}">
    <text>Note that these values are calculated based on the operating cost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AB12" dT="2023-04-06T17:24:52.48" personId="{1A121D12-39C0-4E05-99C3-B0D371F776EC}" id="{F93097E8-C454-4FF0-ACC7-F84CDA068138}">
    <text>Data sources: Table A-1 from https://www.irs.gov/publications/p946</text>
    <extLst>
      <x:ext xmlns:xltc2="http://schemas.microsoft.com/office/spreadsheetml/2020/threadedcomments2" uri="{F7C98A9C-CBB3-438F-8F68-D28B6AF4A901}">
        <xltc2:checksum>802478908</xltc2:checksum>
        <xltc2:hyperlink startIndex="29" length="37" url="https://www.irs.gov/publications/p946"/>
      </x:ext>
    </extLst>
  </threadedComment>
</ThreadedComments>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wenchi.cheng@inl.gov" TargetMode="Externa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microsoft.com/office/2006/relationships/xlBinaryIndex" Target="binaryIndex3.bin"/><Relationship Id="rId4" Type="http://schemas.openxmlformats.org/officeDocument/2006/relationships/comments" Target="../comments2.bin"/></Relationships>
</file>

<file path=xl/worksheets/_rels/sheet4.bin.rels><?xml version="1.0" encoding="UTF-8" standalone="yes"?>
<Relationships xmlns="http://schemas.openxmlformats.org/package/2006/relationships"><Relationship Id="rId3" Type="http://schemas.openxmlformats.org/officeDocument/2006/relationships/comments" Target="../comments3.bin"/><Relationship Id="rId2" Type="http://schemas.openxmlformats.org/officeDocument/2006/relationships/vmlDrawing" Target="../drawings/vmlDrawing3.v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microsoft.com/office/2006/relationships/xlBinaryIndex" Target="binaryIndex5.bin"/><Relationship Id="rId4" Type="http://schemas.openxmlformats.org/officeDocument/2006/relationships/comments" Target="../comments4.bin"/></Relationships>
</file>

<file path=xl/worksheets/_rels/sheet6.bin.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www.engineeringtoolbox.com/water-density-specific-weight-d_595.html" TargetMode="External"/><Relationship Id="rId7" Type="http://schemas.openxmlformats.org/officeDocument/2006/relationships/printerSettings" Target="../printerSettings/printerSettings4.bin"/><Relationship Id="rId2" Type="http://schemas.openxmlformats.org/officeDocument/2006/relationships/hyperlink" Target="https://www.nrel.gov/hydrogen/h2a-production-models.html" TargetMode="External"/><Relationship Id="rId1" Type="http://schemas.microsoft.com/office/2006/relationships/xlBinaryIndex" Target="binaryIndex6.bin"/><Relationship Id="rId6" Type="http://schemas.openxmlformats.org/officeDocument/2006/relationships/hyperlink" Target="https://www.investopedia.com/terms/c/costofdebt.asp" TargetMode="External"/><Relationship Id="rId11" Type="http://schemas.microsoft.com/office/2017/10/relationships/threadedComment" Target="../threadedComments/threadedComment2.xml"/><Relationship Id="rId5" Type="http://schemas.openxmlformats.org/officeDocument/2006/relationships/hyperlink" Target="https://www.investopedia.com/terms/w/wacc.asp" TargetMode="External"/><Relationship Id="rId10" Type="http://schemas.openxmlformats.org/officeDocument/2006/relationships/comments" Target="../comments5.bin"/><Relationship Id="rId4" Type="http://schemas.openxmlformats.org/officeDocument/2006/relationships/hyperlink" Target="https://www.engineeringtoolbox.com/water-density-specific-weight-d_595.html" TargetMode="External"/><Relationship Id="rId9" Type="http://schemas.openxmlformats.org/officeDocument/2006/relationships/vmlDrawing" Target="../drawings/vmlDrawing5.vml"/></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 Id="rId6" Type="http://schemas.microsoft.com/office/2017/10/relationships/threadedComment" Target="../threadedComments/threadedComment3.xml"/><Relationship Id="rId5" Type="http://schemas.openxmlformats.org/officeDocument/2006/relationships/comments" Target="../comments6.bin"/><Relationship Id="rId4" Type="http://schemas.openxmlformats.org/officeDocument/2006/relationships/vmlDrawing" Target="../drawings/vmlDrawing6.vml"/></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 Id="rId6" Type="http://schemas.microsoft.com/office/2017/10/relationships/threadedComment" Target="../threadedComments/threadedComment4.xml"/><Relationship Id="rId5" Type="http://schemas.openxmlformats.org/officeDocument/2006/relationships/comments" Target="../comments7.bin"/><Relationship Id="rId4" Type="http://schemas.openxmlformats.org/officeDocument/2006/relationships/vmlDrawing" Target="../drawings/vmlDrawing7.vml"/></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microsoft.com/office/2006/relationships/xlBinaryIndex" Target="binaryIndex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AC75F4445D4C849B44EB4188CD7A0B9" ma:contentTypeVersion="2" ma:contentTypeDescription="Create a new document." ma:contentTypeScope="" ma:versionID="13f7533cd9a25d6ea2afa26f9382255a">
  <xsd:schema xmlns:xsd="http://www.w3.org/2001/XMLSchema" xmlns:xs="http://www.w3.org/2001/XMLSchema" xmlns:p="http://schemas.microsoft.com/office/2006/metadata/properties" xmlns:ns3="54b02d87-781b-4a6c-8866-67f17203d480" targetNamespace="http://schemas.microsoft.com/office/2006/metadata/properties" ma:root="true" ma:fieldsID="e94579c3c8072fc163cdb898ed651531" ns3:_="">
    <xsd:import namespace="54b02d87-781b-4a6c-8866-67f17203d480"/>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b02d87-781b-4a6c-8866-67f17203d4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0C2D98A-48EA-4648-A6D6-798CC9A1719D}">
  <ds:schemaRefs>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54b02d87-781b-4a6c-8866-67f17203d480"/>
    <ds:schemaRef ds:uri="http://www.w3.org/XML/1998/namespace"/>
    <ds:schemaRef ds:uri="http://schemas.microsoft.com/office/2006/metadata/properties"/>
    <ds:schemaRef ds:uri="http://purl.org/dc/dcmitype/"/>
    <ds:schemaRef ds:uri="http://purl.org/dc/terms/"/>
  </ds:schemaRefs>
</ds:datastoreItem>
</file>

<file path=customXml/itemProps2.xml><?xml version="1.0" encoding="utf-8"?>
<ds:datastoreItem xmlns:ds="http://schemas.openxmlformats.org/officeDocument/2006/customXml" ds:itemID="{79A551FE-7003-42C4-90FA-B78BD7CBAA2A}">
  <ds:schemaRefs>
    <ds:schemaRef ds:uri="http://schemas.microsoft.com/sharepoint/v3/contenttype/forms"/>
  </ds:schemaRefs>
</ds:datastoreItem>
</file>

<file path=customXml/itemProps3.xml><?xml version="1.0" encoding="utf-8"?>
<ds:datastoreItem xmlns:ds="http://schemas.openxmlformats.org/officeDocument/2006/customXml" ds:itemID="{17B6DEBA-E82F-4FD7-AB3B-AD1803D904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b02d87-781b-4a6c-8866-67f17203d4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17</vt:i4>
      </vt:variant>
    </vt:vector>
  </HeadingPairs>
  <TitlesOfParts>
    <vt:vector size="31" baseType="lpstr">
      <vt:lpstr>Tool Information</vt:lpstr>
      <vt:lpstr>Dashboard</vt:lpstr>
      <vt:lpstr>Proforma</vt:lpstr>
      <vt:lpstr>Elec_NG_Price</vt:lpstr>
      <vt:lpstr>Input (Default)</vt:lpstr>
      <vt:lpstr>Inputs (Add)</vt:lpstr>
      <vt:lpstr>NPV</vt:lpstr>
      <vt:lpstr>LCOH</vt:lpstr>
      <vt:lpstr>Replacement</vt:lpstr>
      <vt:lpstr>Depreciation</vt:lpstr>
      <vt:lpstr>Debt-Principal Costs</vt:lpstr>
      <vt:lpstr>Sensitivity_Tornado</vt:lpstr>
      <vt:lpstr>Preference_Analysis</vt:lpstr>
      <vt:lpstr>Correlations</vt:lpstr>
      <vt:lpstr>CEPCI_2020</vt:lpstr>
      <vt:lpstr>CEPCI_2022</vt:lpstr>
      <vt:lpstr>direct_cap</vt:lpstr>
      <vt:lpstr>ele_usage</vt:lpstr>
      <vt:lpstr>electricity_price</vt:lpstr>
      <vt:lpstr>H2_market_price</vt:lpstr>
      <vt:lpstr>length_construction_period</vt:lpstr>
      <vt:lpstr>MACRS_Table</vt:lpstr>
      <vt:lpstr>plant_type</vt:lpstr>
      <vt:lpstr>recovery_period</vt:lpstr>
      <vt:lpstr>recovery_year</vt:lpstr>
      <vt:lpstr>regulated_thermal_price</vt:lpstr>
      <vt:lpstr>Start_up_period</vt:lpstr>
      <vt:lpstr>startup_year</vt:lpstr>
      <vt:lpstr>thermal_eff</vt:lpstr>
      <vt:lpstr>thermal_usage</vt:lpstr>
      <vt:lpstr>year_current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Wen-Chi Cheng</dc:creator>
  <cp:lastModifiedBy>Wen-Chi Cheng</cp:lastModifiedBy>
  <cp:lastPrinted>2023-12-07T00:49:27Z</cp:lastPrinted>
  <dcterms:created xsi:type="dcterms:W3CDTF">2023-02-16T14:18:08Z</dcterms:created>
  <dcterms:modified xsi:type="dcterms:W3CDTF">2024-01-24T21:01:37Z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0x010100FAC75F4445D4C849B44EB4188CD7A0B9</vt:lpwstr>
  </property>
</Properties>
</file>